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MING\Desktop\les achats des deux logments\"/>
    </mc:Choice>
  </mc:AlternateContent>
  <xr:revisionPtr revIDLastSave="0" documentId="13_ncr:1_{0783D6EB-0407-46C5-9516-20F3D636923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GLOBAL" sheetId="1" r:id="rId1"/>
    <sheet name="VIEUX KOUBA" sheetId="2" r:id="rId2"/>
    <sheet name="DJNANE SFARI" sheetId="3" r:id="rId3"/>
    <sheet name="RESUME GLOBAL" sheetId="4" r:id="rId4"/>
  </sheets>
  <definedNames>
    <definedName name="_xlnm._FilterDatabase" localSheetId="2" hidden="1">'DJNANE SFARI'!$A$1:$L$54</definedName>
    <definedName name="_xlnm._FilterDatabase" localSheetId="0" hidden="1">GLOBAL!$A$1:$L$299</definedName>
    <definedName name="_xlnm._FilterDatabase" localSheetId="1" hidden="1">'VIEUX KOUBA'!$A$1:$L$247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3" i="3" l="1"/>
  <c r="F52" i="3"/>
  <c r="F51" i="3"/>
  <c r="G51" i="3" s="1"/>
  <c r="H51" i="3" s="1"/>
  <c r="F50" i="3"/>
  <c r="F49" i="3"/>
  <c r="G49" i="3" s="1"/>
  <c r="F48" i="3"/>
  <c r="F47" i="3"/>
  <c r="F46" i="3"/>
  <c r="F45" i="3"/>
  <c r="F44" i="3"/>
  <c r="G44" i="3" s="1"/>
  <c r="H44" i="3" s="1"/>
  <c r="F43" i="3"/>
  <c r="G43" i="3" s="1"/>
  <c r="H43" i="3" s="1"/>
  <c r="F42" i="3"/>
  <c r="F41" i="3"/>
  <c r="F40" i="3"/>
  <c r="F39" i="3"/>
  <c r="F38" i="3"/>
  <c r="F37" i="3"/>
  <c r="F36" i="3"/>
  <c r="G36" i="3" s="1"/>
  <c r="H36" i="3" s="1"/>
  <c r="F35" i="3"/>
  <c r="G35" i="3" s="1"/>
  <c r="F34" i="3"/>
  <c r="F33" i="3"/>
  <c r="F32" i="3"/>
  <c r="F31" i="3"/>
  <c r="G31" i="3" s="1"/>
  <c r="H31" i="3" s="1"/>
  <c r="F30" i="3"/>
  <c r="G30" i="3" s="1"/>
  <c r="F29" i="3"/>
  <c r="F28" i="3"/>
  <c r="F27" i="3"/>
  <c r="G27" i="3" s="1"/>
  <c r="F26" i="3"/>
  <c r="F25" i="3"/>
  <c r="G25" i="3" s="1"/>
  <c r="F24" i="3"/>
  <c r="G24" i="3" s="1"/>
  <c r="H24" i="3" s="1"/>
  <c r="F23" i="3"/>
  <c r="F22" i="3"/>
  <c r="F21" i="3"/>
  <c r="F20" i="3"/>
  <c r="F19" i="3"/>
  <c r="G19" i="3" s="1"/>
  <c r="H19" i="3" s="1"/>
  <c r="F18" i="3"/>
  <c r="F17" i="3"/>
  <c r="F16" i="3"/>
  <c r="F15" i="3"/>
  <c r="F14" i="3"/>
  <c r="F13" i="3"/>
  <c r="F12" i="3"/>
  <c r="G12" i="3" s="1"/>
  <c r="H12" i="3" s="1"/>
  <c r="F11" i="3"/>
  <c r="G11" i="3" s="1"/>
  <c r="F10" i="3"/>
  <c r="F9" i="3"/>
  <c r="F8" i="3"/>
  <c r="G8" i="3" s="1"/>
  <c r="H8" i="3" s="1"/>
  <c r="F7" i="3"/>
  <c r="G7" i="3" s="1"/>
  <c r="H7" i="3" s="1"/>
  <c r="F6" i="3"/>
  <c r="G6" i="3" s="1"/>
  <c r="F5" i="3"/>
  <c r="F4" i="3"/>
  <c r="F3" i="3"/>
  <c r="G3" i="3" s="1"/>
  <c r="H3" i="3" s="1"/>
  <c r="F2" i="3"/>
  <c r="F246" i="2"/>
  <c r="G246" i="2" s="1"/>
  <c r="H246" i="2" s="1"/>
  <c r="F245" i="2"/>
  <c r="F244" i="2"/>
  <c r="F243" i="2"/>
  <c r="F242" i="2"/>
  <c r="F241" i="2"/>
  <c r="G241" i="2" s="1"/>
  <c r="H241" i="2" s="1"/>
  <c r="F240" i="2"/>
  <c r="F239" i="2"/>
  <c r="F238" i="2"/>
  <c r="F237" i="2"/>
  <c r="F236" i="2"/>
  <c r="F235" i="2"/>
  <c r="F234" i="2"/>
  <c r="G234" i="2" s="1"/>
  <c r="H234" i="2" s="1"/>
  <c r="F233" i="2"/>
  <c r="G233" i="2" s="1"/>
  <c r="F232" i="2"/>
  <c r="F231" i="2"/>
  <c r="F230" i="2"/>
  <c r="G230" i="2" s="1"/>
  <c r="F229" i="2"/>
  <c r="G229" i="2" s="1"/>
  <c r="H229" i="2" s="1"/>
  <c r="F228" i="2"/>
  <c r="G228" i="2" s="1"/>
  <c r="F227" i="2"/>
  <c r="F226" i="2"/>
  <c r="F225" i="2"/>
  <c r="G225" i="2" s="1"/>
  <c r="H225" i="2" s="1"/>
  <c r="F224" i="2"/>
  <c r="F223" i="2"/>
  <c r="G223" i="2" s="1"/>
  <c r="F222" i="2"/>
  <c r="G222" i="2" s="1"/>
  <c r="H222" i="2" s="1"/>
  <c r="F221" i="2"/>
  <c r="F220" i="2"/>
  <c r="G220" i="2" s="1"/>
  <c r="H220" i="2" s="1"/>
  <c r="F219" i="2"/>
  <c r="F218" i="2"/>
  <c r="F217" i="2"/>
  <c r="F216" i="2"/>
  <c r="G216" i="2" s="1"/>
  <c r="H216" i="2" s="1"/>
  <c r="F215" i="2"/>
  <c r="F214" i="2"/>
  <c r="F213" i="2"/>
  <c r="G213" i="2" s="1"/>
  <c r="H213" i="2" s="1"/>
  <c r="F212" i="2"/>
  <c r="G212" i="2" s="1"/>
  <c r="F211" i="2"/>
  <c r="G211" i="2" s="1"/>
  <c r="F210" i="2"/>
  <c r="F209" i="2"/>
  <c r="G209" i="2" s="1"/>
  <c r="H209" i="2" s="1"/>
  <c r="F208" i="2"/>
  <c r="F207" i="2"/>
  <c r="F206" i="2"/>
  <c r="F205" i="2"/>
  <c r="F204" i="2"/>
  <c r="F203" i="2"/>
  <c r="G203" i="2" s="1"/>
  <c r="F202" i="2"/>
  <c r="G202" i="2" s="1"/>
  <c r="H202" i="2" s="1"/>
  <c r="F201" i="2"/>
  <c r="G201" i="2" s="1"/>
  <c r="H201" i="2" s="1"/>
  <c r="F200" i="2"/>
  <c r="G200" i="2" s="1"/>
  <c r="H200" i="2" s="1"/>
  <c r="F199" i="2"/>
  <c r="F198" i="2"/>
  <c r="G198" i="2" s="1"/>
  <c r="H198" i="2" s="1"/>
  <c r="F197" i="2"/>
  <c r="G197" i="2" s="1"/>
  <c r="F196" i="2"/>
  <c r="G196" i="2" s="1"/>
  <c r="H196" i="2" s="1"/>
  <c r="F195" i="2"/>
  <c r="F194" i="2"/>
  <c r="G194" i="2" s="1"/>
  <c r="H194" i="2" s="1"/>
  <c r="F193" i="2"/>
  <c r="F192" i="2"/>
  <c r="F191" i="2"/>
  <c r="F190" i="2"/>
  <c r="G190" i="2" s="1"/>
  <c r="F189" i="2"/>
  <c r="G189" i="2" s="1"/>
  <c r="H189" i="2" s="1"/>
  <c r="F188" i="2"/>
  <c r="G188" i="2" s="1"/>
  <c r="H188" i="2" s="1"/>
  <c r="F187" i="2"/>
  <c r="G187" i="2" s="1"/>
  <c r="F186" i="2"/>
  <c r="F185" i="2"/>
  <c r="G185" i="2" s="1"/>
  <c r="H185" i="2" s="1"/>
  <c r="F184" i="2"/>
  <c r="G184" i="2" s="1"/>
  <c r="F183" i="2"/>
  <c r="F182" i="2"/>
  <c r="F181" i="2"/>
  <c r="G181" i="2" s="1"/>
  <c r="F180" i="2"/>
  <c r="F179" i="2"/>
  <c r="F178" i="2"/>
  <c r="G178" i="2" s="1"/>
  <c r="H178" i="2" s="1"/>
  <c r="F177" i="2"/>
  <c r="G177" i="2" s="1"/>
  <c r="H177" i="2" s="1"/>
  <c r="F176" i="2"/>
  <c r="G176" i="2" s="1"/>
  <c r="H176" i="2" s="1"/>
  <c r="F175" i="2"/>
  <c r="G175" i="2" s="1"/>
  <c r="F174" i="2"/>
  <c r="G174" i="2" s="1"/>
  <c r="H174" i="2" s="1"/>
  <c r="F173" i="2"/>
  <c r="F172" i="2"/>
  <c r="G172" i="2" s="1"/>
  <c r="H172" i="2" s="1"/>
  <c r="F171" i="2"/>
  <c r="F170" i="2"/>
  <c r="F169" i="2"/>
  <c r="F168" i="2"/>
  <c r="G168" i="2" s="1"/>
  <c r="H168" i="2" s="1"/>
  <c r="F167" i="2"/>
  <c r="F166" i="2"/>
  <c r="G166" i="2" s="1"/>
  <c r="H166" i="2" s="1"/>
  <c r="F165" i="2"/>
  <c r="G165" i="2" s="1"/>
  <c r="H165" i="2" s="1"/>
  <c r="F164" i="2"/>
  <c r="F163" i="2"/>
  <c r="G163" i="2" s="1"/>
  <c r="F162" i="2"/>
  <c r="G162" i="2" s="1"/>
  <c r="F161" i="2"/>
  <c r="G161" i="2" s="1"/>
  <c r="F160" i="2"/>
  <c r="F159" i="2"/>
  <c r="F158" i="2"/>
  <c r="F157" i="2"/>
  <c r="F156" i="2"/>
  <c r="F155" i="2"/>
  <c r="G155" i="2" s="1"/>
  <c r="F154" i="2"/>
  <c r="G154" i="2" s="1"/>
  <c r="H154" i="2" s="1"/>
  <c r="F153" i="2"/>
  <c r="G153" i="2" s="1"/>
  <c r="H153" i="2" s="1"/>
  <c r="F152" i="2"/>
  <c r="G152" i="2" s="1"/>
  <c r="H152" i="2" s="1"/>
  <c r="F151" i="2"/>
  <c r="F150" i="2"/>
  <c r="G150" i="2" s="1"/>
  <c r="H150" i="2" s="1"/>
  <c r="F149" i="2"/>
  <c r="F148" i="2"/>
  <c r="F147" i="2"/>
  <c r="F146" i="2"/>
  <c r="G146" i="2" s="1"/>
  <c r="H146" i="2" s="1"/>
  <c r="F145" i="2"/>
  <c r="F144" i="2"/>
  <c r="G144" i="2" s="1"/>
  <c r="H144" i="2" s="1"/>
  <c r="F143" i="2"/>
  <c r="F142" i="2"/>
  <c r="G142" i="2" s="1"/>
  <c r="H142" i="2" s="1"/>
  <c r="F141" i="2"/>
  <c r="G141" i="2" s="1"/>
  <c r="H141" i="2" s="1"/>
  <c r="F140" i="2"/>
  <c r="G140" i="2" s="1"/>
  <c r="H140" i="2" s="1"/>
  <c r="F139" i="2"/>
  <c r="G139" i="2" s="1"/>
  <c r="F138" i="2"/>
  <c r="F137" i="2"/>
  <c r="G137" i="2" s="1"/>
  <c r="H137" i="2" s="1"/>
  <c r="F136" i="2"/>
  <c r="G136" i="2" s="1"/>
  <c r="F135" i="2"/>
  <c r="G135" i="2" s="1"/>
  <c r="F134" i="2"/>
  <c r="F133" i="2"/>
  <c r="G133" i="2" s="1"/>
  <c r="H133" i="2" s="1"/>
  <c r="F132" i="2"/>
  <c r="F131" i="2"/>
  <c r="F130" i="2"/>
  <c r="F129" i="2"/>
  <c r="G129" i="2" s="1"/>
  <c r="H129" i="2" s="1"/>
  <c r="F128" i="2"/>
  <c r="G128" i="2" s="1"/>
  <c r="H128" i="2" s="1"/>
  <c r="F127" i="2"/>
  <c r="G127" i="2" s="1"/>
  <c r="F126" i="2"/>
  <c r="G126" i="2" s="1"/>
  <c r="H126" i="2" s="1"/>
  <c r="F125" i="2"/>
  <c r="F124" i="2"/>
  <c r="G124" i="2" s="1"/>
  <c r="H124" i="2" s="1"/>
  <c r="F123" i="2"/>
  <c r="F122" i="2"/>
  <c r="G122" i="2" s="1"/>
  <c r="F121" i="2"/>
  <c r="F120" i="2"/>
  <c r="G120" i="2" s="1"/>
  <c r="H120" i="2" s="1"/>
  <c r="F119" i="2"/>
  <c r="F118" i="2"/>
  <c r="G118" i="2" s="1"/>
  <c r="H118" i="2" s="1"/>
  <c r="F117" i="2"/>
  <c r="F116" i="2"/>
  <c r="G116" i="2" s="1"/>
  <c r="H116" i="2" s="1"/>
  <c r="F115" i="2"/>
  <c r="G115" i="2" s="1"/>
  <c r="F114" i="2"/>
  <c r="G114" i="2" s="1"/>
  <c r="F113" i="2"/>
  <c r="G113" i="2" s="1"/>
  <c r="H113" i="2" s="1"/>
  <c r="F112" i="2"/>
  <c r="F111" i="2"/>
  <c r="F110" i="2"/>
  <c r="F109" i="2"/>
  <c r="G109" i="2" s="1"/>
  <c r="F108" i="2"/>
  <c r="F107" i="2"/>
  <c r="G107" i="2" s="1"/>
  <c r="F106" i="2"/>
  <c r="G106" i="2" s="1"/>
  <c r="H106" i="2" s="1"/>
  <c r="F105" i="2"/>
  <c r="G105" i="2" s="1"/>
  <c r="H105" i="2" s="1"/>
  <c r="F104" i="2"/>
  <c r="F103" i="2"/>
  <c r="F102" i="2"/>
  <c r="G102" i="2" s="1"/>
  <c r="H102" i="2" s="1"/>
  <c r="F101" i="2"/>
  <c r="G101" i="2" s="1"/>
  <c r="F100" i="2"/>
  <c r="G100" i="2" s="1"/>
  <c r="H100" i="2" s="1"/>
  <c r="F99" i="2"/>
  <c r="F98" i="2"/>
  <c r="G98" i="2" s="1"/>
  <c r="F97" i="2"/>
  <c r="F96" i="2"/>
  <c r="G96" i="2" s="1"/>
  <c r="F95" i="2"/>
  <c r="F94" i="2"/>
  <c r="F93" i="2"/>
  <c r="G93" i="2" s="1"/>
  <c r="H93" i="2" s="1"/>
  <c r="F92" i="2"/>
  <c r="G92" i="2" s="1"/>
  <c r="F91" i="2"/>
  <c r="F90" i="2"/>
  <c r="F89" i="2"/>
  <c r="G89" i="2" s="1"/>
  <c r="H89" i="2" s="1"/>
  <c r="F88" i="2"/>
  <c r="G88" i="2" s="1"/>
  <c r="F87" i="2"/>
  <c r="G87" i="2" s="1"/>
  <c r="F86" i="2"/>
  <c r="F85" i="2"/>
  <c r="G85" i="2" s="1"/>
  <c r="H85" i="2" s="1"/>
  <c r="F84" i="2"/>
  <c r="F83" i="2"/>
  <c r="F82" i="2"/>
  <c r="F81" i="2"/>
  <c r="G81" i="2" s="1"/>
  <c r="H81" i="2" s="1"/>
  <c r="F80" i="2"/>
  <c r="G80" i="2" s="1"/>
  <c r="F79" i="2"/>
  <c r="G79" i="2" s="1"/>
  <c r="F78" i="2"/>
  <c r="G78" i="2" s="1"/>
  <c r="H78" i="2" s="1"/>
  <c r="F77" i="2"/>
  <c r="F76" i="2"/>
  <c r="F75" i="2"/>
  <c r="F74" i="2"/>
  <c r="F73" i="2"/>
  <c r="F72" i="2"/>
  <c r="G72" i="2" s="1"/>
  <c r="H72" i="2" s="1"/>
  <c r="F71" i="2"/>
  <c r="F70" i="2"/>
  <c r="G70" i="2" s="1"/>
  <c r="H70" i="2" s="1"/>
  <c r="F69" i="2"/>
  <c r="F68" i="2"/>
  <c r="G68" i="2" s="1"/>
  <c r="F67" i="2"/>
  <c r="G67" i="2" s="1"/>
  <c r="F66" i="2"/>
  <c r="G66" i="2" s="1"/>
  <c r="H66" i="2" s="1"/>
  <c r="F65" i="2"/>
  <c r="F64" i="2"/>
  <c r="F63" i="2"/>
  <c r="F62" i="2"/>
  <c r="F61" i="2"/>
  <c r="F60" i="2"/>
  <c r="F59" i="2"/>
  <c r="G59" i="2" s="1"/>
  <c r="F58" i="2"/>
  <c r="G58" i="2" s="1"/>
  <c r="F57" i="2"/>
  <c r="G57" i="2" s="1"/>
  <c r="H57" i="2" s="1"/>
  <c r="F56" i="2"/>
  <c r="G56" i="2" s="1"/>
  <c r="H56" i="2" s="1"/>
  <c r="F55" i="2"/>
  <c r="F54" i="2"/>
  <c r="F53" i="2"/>
  <c r="G53" i="2" s="1"/>
  <c r="H53" i="2" s="1"/>
  <c r="F52" i="2"/>
  <c r="F51" i="2"/>
  <c r="F50" i="2"/>
  <c r="G50" i="2" s="1"/>
  <c r="H50" i="2" s="1"/>
  <c r="F49" i="2"/>
  <c r="F48" i="2"/>
  <c r="F47" i="2"/>
  <c r="G47" i="2" s="1"/>
  <c r="F46" i="2"/>
  <c r="G46" i="2" s="1"/>
  <c r="F45" i="2"/>
  <c r="G45" i="2" s="1"/>
  <c r="H45" i="2" s="1"/>
  <c r="F44" i="2"/>
  <c r="G44" i="2" s="1"/>
  <c r="F43" i="2"/>
  <c r="F42" i="2"/>
  <c r="F41" i="2"/>
  <c r="F40" i="2"/>
  <c r="G40" i="2" s="1"/>
  <c r="H40" i="2" s="1"/>
  <c r="F39" i="2"/>
  <c r="G39" i="2" s="1"/>
  <c r="F38" i="2"/>
  <c r="F37" i="2"/>
  <c r="G37" i="2" s="1"/>
  <c r="F36" i="2"/>
  <c r="F35" i="2"/>
  <c r="F34" i="2"/>
  <c r="G34" i="2" s="1"/>
  <c r="H34" i="2" s="1"/>
  <c r="F33" i="2"/>
  <c r="G33" i="2" s="1"/>
  <c r="F32" i="2"/>
  <c r="G32" i="2" s="1"/>
  <c r="F31" i="2"/>
  <c r="G31" i="2" s="1"/>
  <c r="F30" i="2"/>
  <c r="F29" i="2"/>
  <c r="F28" i="2"/>
  <c r="F27" i="2"/>
  <c r="F26" i="2"/>
  <c r="F25" i="2"/>
  <c r="F24" i="2"/>
  <c r="G24" i="2" s="1"/>
  <c r="F23" i="2"/>
  <c r="F22" i="2"/>
  <c r="G22" i="2" s="1"/>
  <c r="F21" i="2"/>
  <c r="G21" i="2" s="1"/>
  <c r="F20" i="2"/>
  <c r="F19" i="2"/>
  <c r="G19" i="2" s="1"/>
  <c r="F18" i="2"/>
  <c r="G18" i="2" s="1"/>
  <c r="H18" i="2" s="1"/>
  <c r="F17" i="2"/>
  <c r="F16" i="2"/>
  <c r="F15" i="2"/>
  <c r="F14" i="2"/>
  <c r="F13" i="2"/>
  <c r="G13" i="2" s="1"/>
  <c r="F12" i="2"/>
  <c r="F11" i="2"/>
  <c r="G11" i="2" s="1"/>
  <c r="F10" i="2"/>
  <c r="G10" i="2" s="1"/>
  <c r="H10" i="2" s="1"/>
  <c r="F9" i="2"/>
  <c r="G9" i="2" s="1"/>
  <c r="H9" i="2" s="1"/>
  <c r="F8" i="2"/>
  <c r="G8" i="2" s="1"/>
  <c r="F7" i="2"/>
  <c r="F6" i="2"/>
  <c r="G6" i="2" s="1"/>
  <c r="H6" i="2" s="1"/>
  <c r="F5" i="2"/>
  <c r="G5" i="2" s="1"/>
  <c r="H5" i="2" s="1"/>
  <c r="F4" i="2"/>
  <c r="F3" i="2"/>
  <c r="F2" i="2"/>
  <c r="F298" i="1"/>
  <c r="G298" i="1" s="1"/>
  <c r="F297" i="1"/>
  <c r="G297" i="1" s="1"/>
  <c r="F296" i="1"/>
  <c r="F295" i="1"/>
  <c r="G295" i="1" s="1"/>
  <c r="F294" i="1"/>
  <c r="G294" i="1" s="1"/>
  <c r="F293" i="1"/>
  <c r="F292" i="1"/>
  <c r="F291" i="1"/>
  <c r="F290" i="1"/>
  <c r="G290" i="1" s="1"/>
  <c r="H290" i="1" s="1"/>
  <c r="F289" i="1"/>
  <c r="G289" i="1" s="1"/>
  <c r="F288" i="1"/>
  <c r="F287" i="1"/>
  <c r="G287" i="1" s="1"/>
  <c r="F286" i="1"/>
  <c r="F285" i="1"/>
  <c r="F284" i="1"/>
  <c r="F283" i="1"/>
  <c r="G283" i="1" s="1"/>
  <c r="F282" i="1"/>
  <c r="G282" i="1" s="1"/>
  <c r="F281" i="1"/>
  <c r="G281" i="1" s="1"/>
  <c r="F280" i="1"/>
  <c r="F279" i="1"/>
  <c r="F278" i="1"/>
  <c r="G278" i="1" s="1"/>
  <c r="H278" i="1" s="1"/>
  <c r="F277" i="1"/>
  <c r="F276" i="1"/>
  <c r="F275" i="1"/>
  <c r="G275" i="1" s="1"/>
  <c r="H275" i="1" s="1"/>
  <c r="F274" i="1"/>
  <c r="G274" i="1" s="1"/>
  <c r="H274" i="1" s="1"/>
  <c r="F273" i="1"/>
  <c r="F272" i="1"/>
  <c r="G272" i="1" s="1"/>
  <c r="H272" i="1" s="1"/>
  <c r="F271" i="1"/>
  <c r="F270" i="1"/>
  <c r="G270" i="1" s="1"/>
  <c r="F269" i="1"/>
  <c r="G269" i="1" s="1"/>
  <c r="F268" i="1"/>
  <c r="G268" i="1" s="1"/>
  <c r="H268" i="1" s="1"/>
  <c r="F267" i="1"/>
  <c r="F266" i="1"/>
  <c r="F265" i="1"/>
  <c r="F264" i="1"/>
  <c r="F263" i="1"/>
  <c r="F262" i="1"/>
  <c r="F261" i="1"/>
  <c r="G261" i="1" s="1"/>
  <c r="H261" i="1" s="1"/>
  <c r="F260" i="1"/>
  <c r="F259" i="1"/>
  <c r="G259" i="1" s="1"/>
  <c r="F258" i="1"/>
  <c r="F257" i="1"/>
  <c r="G257" i="1" s="1"/>
  <c r="F256" i="1"/>
  <c r="F255" i="1"/>
  <c r="G255" i="1" s="1"/>
  <c r="F254" i="1"/>
  <c r="F253" i="1"/>
  <c r="G253" i="1" s="1"/>
  <c r="H253" i="1" s="1"/>
  <c r="F252" i="1"/>
  <c r="F251" i="1"/>
  <c r="G251" i="1" s="1"/>
  <c r="F250" i="1"/>
  <c r="F249" i="1"/>
  <c r="G249" i="1" s="1"/>
  <c r="F248" i="1"/>
  <c r="F247" i="1"/>
  <c r="G247" i="1" s="1"/>
  <c r="F246" i="1"/>
  <c r="F245" i="1"/>
  <c r="G245" i="1" s="1"/>
  <c r="H245" i="1" s="1"/>
  <c r="F244" i="1"/>
  <c r="F243" i="1"/>
  <c r="F242" i="1"/>
  <c r="F241" i="1"/>
  <c r="G241" i="1" s="1"/>
  <c r="F240" i="1"/>
  <c r="F239" i="1"/>
  <c r="G239" i="1" s="1"/>
  <c r="F238" i="1"/>
  <c r="F237" i="1"/>
  <c r="G237" i="1" s="1"/>
  <c r="H237" i="1" s="1"/>
  <c r="F236" i="1"/>
  <c r="F235" i="1"/>
  <c r="G235" i="1" s="1"/>
  <c r="F234" i="1"/>
  <c r="F233" i="1"/>
  <c r="G233" i="1" s="1"/>
  <c r="H233" i="1" s="1"/>
  <c r="F232" i="1"/>
  <c r="F231" i="1"/>
  <c r="F230" i="1"/>
  <c r="F229" i="1"/>
  <c r="G229" i="1" s="1"/>
  <c r="H229" i="1" s="1"/>
  <c r="F228" i="1"/>
  <c r="F227" i="1"/>
  <c r="F226" i="1"/>
  <c r="F225" i="1"/>
  <c r="G225" i="1" s="1"/>
  <c r="F224" i="1"/>
  <c r="F223" i="1"/>
  <c r="F222" i="1"/>
  <c r="F221" i="1"/>
  <c r="G221" i="1" s="1"/>
  <c r="H221" i="1" s="1"/>
  <c r="F220" i="1"/>
  <c r="F219" i="1"/>
  <c r="F218" i="1"/>
  <c r="F217" i="1"/>
  <c r="G217" i="1" s="1"/>
  <c r="F216" i="1"/>
  <c r="F215" i="1"/>
  <c r="F214" i="1"/>
  <c r="F213" i="1"/>
  <c r="G213" i="1" s="1"/>
  <c r="H213" i="1" s="1"/>
  <c r="F212" i="1"/>
  <c r="F211" i="1"/>
  <c r="G211" i="1" s="1"/>
  <c r="F210" i="1"/>
  <c r="F209" i="1"/>
  <c r="G209" i="1" s="1"/>
  <c r="F208" i="1"/>
  <c r="F207" i="1"/>
  <c r="F206" i="1"/>
  <c r="F205" i="1"/>
  <c r="G205" i="1" s="1"/>
  <c r="H205" i="1" s="1"/>
  <c r="F204" i="1"/>
  <c r="F203" i="1"/>
  <c r="F202" i="1"/>
  <c r="F201" i="1"/>
  <c r="G201" i="1" s="1"/>
  <c r="H201" i="1" s="1"/>
  <c r="F200" i="1"/>
  <c r="F199" i="1"/>
  <c r="F198" i="1"/>
  <c r="F197" i="1"/>
  <c r="G197" i="1" s="1"/>
  <c r="H197" i="1" s="1"/>
  <c r="F196" i="1"/>
  <c r="F195" i="1"/>
  <c r="F194" i="1"/>
  <c r="F193" i="1"/>
  <c r="G193" i="1" s="1"/>
  <c r="F192" i="1"/>
  <c r="F191" i="1"/>
  <c r="F190" i="1"/>
  <c r="F189" i="1"/>
  <c r="G189" i="1" s="1"/>
  <c r="F188" i="1"/>
  <c r="F187" i="1"/>
  <c r="F186" i="1"/>
  <c r="F185" i="1"/>
  <c r="G185" i="1" s="1"/>
  <c r="F184" i="1"/>
  <c r="F183" i="1"/>
  <c r="F182" i="1"/>
  <c r="F181" i="1"/>
  <c r="G181" i="1" s="1"/>
  <c r="F180" i="1"/>
  <c r="F179" i="1"/>
  <c r="F178" i="1"/>
  <c r="F177" i="1"/>
  <c r="G177" i="1" s="1"/>
  <c r="F176" i="1"/>
  <c r="F175" i="1"/>
  <c r="F174" i="1"/>
  <c r="F173" i="1"/>
  <c r="G173" i="1" s="1"/>
  <c r="F172" i="1"/>
  <c r="F171" i="1"/>
  <c r="F170" i="1"/>
  <c r="F169" i="1"/>
  <c r="F168" i="1"/>
  <c r="F167" i="1"/>
  <c r="G167" i="1" s="1"/>
  <c r="F166" i="1"/>
  <c r="F165" i="1"/>
  <c r="F164" i="1"/>
  <c r="F163" i="1"/>
  <c r="F162" i="1"/>
  <c r="G162" i="1" s="1"/>
  <c r="F161" i="1"/>
  <c r="G161" i="1" s="1"/>
  <c r="H161" i="1" s="1"/>
  <c r="F160" i="1"/>
  <c r="F159" i="1"/>
  <c r="F158" i="1"/>
  <c r="G158" i="1" s="1"/>
  <c r="F157" i="1"/>
  <c r="F156" i="1"/>
  <c r="F155" i="1"/>
  <c r="F154" i="1"/>
  <c r="G154" i="1" s="1"/>
  <c r="F153" i="1"/>
  <c r="G153" i="1" s="1"/>
  <c r="H153" i="1" s="1"/>
  <c r="F152" i="1"/>
  <c r="G152" i="1" s="1"/>
  <c r="H152" i="1" s="1"/>
  <c r="F151" i="1"/>
  <c r="F150" i="1"/>
  <c r="G150" i="1" s="1"/>
  <c r="F149" i="1"/>
  <c r="F148" i="1"/>
  <c r="F147" i="1"/>
  <c r="G147" i="1" s="1"/>
  <c r="F146" i="1"/>
  <c r="F145" i="1"/>
  <c r="G145" i="1" s="1"/>
  <c r="H145" i="1" s="1"/>
  <c r="F144" i="1"/>
  <c r="G144" i="1" s="1"/>
  <c r="H144" i="1" s="1"/>
  <c r="F143" i="1"/>
  <c r="F142" i="1"/>
  <c r="F141" i="1"/>
  <c r="G141" i="1" s="1"/>
  <c r="H141" i="1" s="1"/>
  <c r="F140" i="1"/>
  <c r="F139" i="1"/>
  <c r="F138" i="1"/>
  <c r="G138" i="1" s="1"/>
  <c r="H138" i="1" s="1"/>
  <c r="F137" i="1"/>
  <c r="F136" i="1"/>
  <c r="F135" i="1"/>
  <c r="G135" i="1" s="1"/>
  <c r="F134" i="1"/>
  <c r="G134" i="1" s="1"/>
  <c r="H134" i="1" s="1"/>
  <c r="F133" i="1"/>
  <c r="F132" i="1"/>
  <c r="G132" i="1" s="1"/>
  <c r="H132" i="1" s="1"/>
  <c r="F131" i="1"/>
  <c r="G131" i="1" s="1"/>
  <c r="H131" i="1" s="1"/>
  <c r="F130" i="1"/>
  <c r="G130" i="1" s="1"/>
  <c r="H130" i="1" s="1"/>
  <c r="F129" i="1"/>
  <c r="F128" i="1"/>
  <c r="G128" i="1" s="1"/>
  <c r="H128" i="1" s="1"/>
  <c r="F127" i="1"/>
  <c r="G127" i="1" s="1"/>
  <c r="H127" i="1" s="1"/>
  <c r="F126" i="1"/>
  <c r="G126" i="1" s="1"/>
  <c r="H126" i="1" s="1"/>
  <c r="F125" i="1"/>
  <c r="F124" i="1"/>
  <c r="G124" i="1" s="1"/>
  <c r="H124" i="1" s="1"/>
  <c r="F123" i="1"/>
  <c r="G123" i="1" s="1"/>
  <c r="H123" i="1" s="1"/>
  <c r="F122" i="1"/>
  <c r="G122" i="1" s="1"/>
  <c r="H122" i="1" s="1"/>
  <c r="F121" i="1"/>
  <c r="F120" i="1"/>
  <c r="G120" i="1" s="1"/>
  <c r="H120" i="1" s="1"/>
  <c r="F119" i="1"/>
  <c r="G119" i="1" s="1"/>
  <c r="H119" i="1" s="1"/>
  <c r="F118" i="1"/>
  <c r="G118" i="1" s="1"/>
  <c r="H118" i="1" s="1"/>
  <c r="F117" i="1"/>
  <c r="F116" i="1"/>
  <c r="G116" i="1" s="1"/>
  <c r="H116" i="1" s="1"/>
  <c r="F115" i="1"/>
  <c r="G115" i="1" s="1"/>
  <c r="H115" i="1" s="1"/>
  <c r="F114" i="1"/>
  <c r="G114" i="1" s="1"/>
  <c r="H114" i="1" s="1"/>
  <c r="F113" i="1"/>
  <c r="F112" i="1"/>
  <c r="G112" i="1" s="1"/>
  <c r="H112" i="1" s="1"/>
  <c r="F111" i="1"/>
  <c r="G111" i="1" s="1"/>
  <c r="H111" i="1" s="1"/>
  <c r="F110" i="1"/>
  <c r="G110" i="1" s="1"/>
  <c r="H110" i="1" s="1"/>
  <c r="F109" i="1"/>
  <c r="G109" i="1" s="1"/>
  <c r="F108" i="1"/>
  <c r="G108" i="1" s="1"/>
  <c r="H108" i="1" s="1"/>
  <c r="F107" i="1"/>
  <c r="G107" i="1" s="1"/>
  <c r="H107" i="1" s="1"/>
  <c r="F106" i="1"/>
  <c r="G106" i="1" s="1"/>
  <c r="H106" i="1" s="1"/>
  <c r="F105" i="1"/>
  <c r="G105" i="1" s="1"/>
  <c r="F104" i="1"/>
  <c r="G104" i="1" s="1"/>
  <c r="H104" i="1" s="1"/>
  <c r="F103" i="1"/>
  <c r="G103" i="1" s="1"/>
  <c r="H103" i="1" s="1"/>
  <c r="F102" i="1"/>
  <c r="G102" i="1" s="1"/>
  <c r="H102" i="1" s="1"/>
  <c r="F101" i="1"/>
  <c r="G101" i="1" s="1"/>
  <c r="F100" i="1"/>
  <c r="G100" i="1" s="1"/>
  <c r="H100" i="1" s="1"/>
  <c r="F99" i="1"/>
  <c r="G99" i="1" s="1"/>
  <c r="H99" i="1" s="1"/>
  <c r="F98" i="1"/>
  <c r="G98" i="1" s="1"/>
  <c r="H98" i="1" s="1"/>
  <c r="F97" i="1"/>
  <c r="G97" i="1" s="1"/>
  <c r="F96" i="1"/>
  <c r="G96" i="1" s="1"/>
  <c r="H96" i="1" s="1"/>
  <c r="F95" i="1"/>
  <c r="G95" i="1" s="1"/>
  <c r="H95" i="1" s="1"/>
  <c r="F94" i="1"/>
  <c r="G94" i="1" s="1"/>
  <c r="H94" i="1" s="1"/>
  <c r="F93" i="1"/>
  <c r="G93" i="1" s="1"/>
  <c r="F92" i="1"/>
  <c r="G92" i="1" s="1"/>
  <c r="H92" i="1" s="1"/>
  <c r="F91" i="1"/>
  <c r="G91" i="1" s="1"/>
  <c r="H91" i="1" s="1"/>
  <c r="F90" i="1"/>
  <c r="G90" i="1" s="1"/>
  <c r="H90" i="1" s="1"/>
  <c r="F89" i="1"/>
  <c r="G89" i="1" s="1"/>
  <c r="F88" i="1"/>
  <c r="G88" i="1" s="1"/>
  <c r="H88" i="1" s="1"/>
  <c r="F87" i="1"/>
  <c r="G87" i="1" s="1"/>
  <c r="F86" i="1"/>
  <c r="G86" i="1" s="1"/>
  <c r="H86" i="1" s="1"/>
  <c r="F85" i="1"/>
  <c r="F84" i="1"/>
  <c r="G84" i="1" s="1"/>
  <c r="H84" i="1" s="1"/>
  <c r="F83" i="1"/>
  <c r="F82" i="1"/>
  <c r="G82" i="1" s="1"/>
  <c r="H82" i="1" s="1"/>
  <c r="F81" i="1"/>
  <c r="F80" i="1"/>
  <c r="G80" i="1" s="1"/>
  <c r="H80" i="1" s="1"/>
  <c r="F79" i="1"/>
  <c r="G79" i="1" s="1"/>
  <c r="F78" i="1"/>
  <c r="G78" i="1" s="1"/>
  <c r="H78" i="1" s="1"/>
  <c r="F77" i="1"/>
  <c r="G77" i="1" s="1"/>
  <c r="F76" i="1"/>
  <c r="G76" i="1" s="1"/>
  <c r="H76" i="1" s="1"/>
  <c r="F75" i="1"/>
  <c r="G75" i="1" s="1"/>
  <c r="F74" i="1"/>
  <c r="G74" i="1" s="1"/>
  <c r="H74" i="1" s="1"/>
  <c r="F73" i="1"/>
  <c r="F72" i="1"/>
  <c r="G72" i="1" s="1"/>
  <c r="H72" i="1" s="1"/>
  <c r="F71" i="1"/>
  <c r="F70" i="1"/>
  <c r="G70" i="1" s="1"/>
  <c r="H70" i="1" s="1"/>
  <c r="F69" i="1"/>
  <c r="G69" i="1" s="1"/>
  <c r="F68" i="1"/>
  <c r="G68" i="1" s="1"/>
  <c r="H68" i="1" s="1"/>
  <c r="F67" i="1"/>
  <c r="F66" i="1"/>
  <c r="G66" i="1" s="1"/>
  <c r="H66" i="1" s="1"/>
  <c r="F65" i="1"/>
  <c r="F64" i="1"/>
  <c r="G64" i="1" s="1"/>
  <c r="H64" i="1" s="1"/>
  <c r="F63" i="1"/>
  <c r="G63" i="1" s="1"/>
  <c r="F62" i="1"/>
  <c r="G62" i="1" s="1"/>
  <c r="H62" i="1" s="1"/>
  <c r="F61" i="1"/>
  <c r="F60" i="1"/>
  <c r="G60" i="1" s="1"/>
  <c r="H60" i="1" s="1"/>
  <c r="F59" i="1"/>
  <c r="F58" i="1"/>
  <c r="G58" i="1" s="1"/>
  <c r="H58" i="1" s="1"/>
  <c r="F57" i="1"/>
  <c r="F56" i="1"/>
  <c r="G56" i="1" s="1"/>
  <c r="H56" i="1" s="1"/>
  <c r="F55" i="1"/>
  <c r="G55" i="1" s="1"/>
  <c r="F54" i="1"/>
  <c r="G54" i="1" s="1"/>
  <c r="H54" i="1" s="1"/>
  <c r="F53" i="1"/>
  <c r="G53" i="1" s="1"/>
  <c r="F52" i="1"/>
  <c r="G52" i="1" s="1"/>
  <c r="H52" i="1" s="1"/>
  <c r="F51" i="1"/>
  <c r="F50" i="1"/>
  <c r="G50" i="1" s="1"/>
  <c r="H50" i="1" s="1"/>
  <c r="F49" i="1"/>
  <c r="G49" i="1" s="1"/>
  <c r="F48" i="1"/>
  <c r="G48" i="1" s="1"/>
  <c r="H48" i="1" s="1"/>
  <c r="F47" i="1"/>
  <c r="G47" i="1" s="1"/>
  <c r="F46" i="1"/>
  <c r="G46" i="1" s="1"/>
  <c r="H46" i="1" s="1"/>
  <c r="F45" i="1"/>
  <c r="F44" i="1"/>
  <c r="G44" i="1" s="1"/>
  <c r="H44" i="1" s="1"/>
  <c r="F43" i="1"/>
  <c r="F42" i="1"/>
  <c r="G42" i="1" s="1"/>
  <c r="H42" i="1" s="1"/>
  <c r="F41" i="1"/>
  <c r="G41" i="1" s="1"/>
  <c r="F40" i="1"/>
  <c r="G40" i="1" s="1"/>
  <c r="H40" i="1" s="1"/>
  <c r="F39" i="1"/>
  <c r="F38" i="1"/>
  <c r="G38" i="1" s="1"/>
  <c r="H38" i="1" s="1"/>
  <c r="F37" i="1"/>
  <c r="F36" i="1"/>
  <c r="G36" i="1" s="1"/>
  <c r="H36" i="1" s="1"/>
  <c r="F35" i="1"/>
  <c r="F34" i="1"/>
  <c r="G34" i="1" s="1"/>
  <c r="H34" i="1" s="1"/>
  <c r="F33" i="1"/>
  <c r="G33" i="1" s="1"/>
  <c r="F32" i="1"/>
  <c r="G32" i="1" s="1"/>
  <c r="H32" i="1" s="1"/>
  <c r="F31" i="1"/>
  <c r="G31" i="1" s="1"/>
  <c r="F30" i="1"/>
  <c r="G30" i="1" s="1"/>
  <c r="H30" i="1" s="1"/>
  <c r="F29" i="1"/>
  <c r="G29" i="1" s="1"/>
  <c r="F28" i="1"/>
  <c r="G28" i="1" s="1"/>
  <c r="H28" i="1" s="1"/>
  <c r="F27" i="1"/>
  <c r="F26" i="1"/>
  <c r="F25" i="1"/>
  <c r="G25" i="1" s="1"/>
  <c r="F24" i="1"/>
  <c r="G24" i="1" s="1"/>
  <c r="H24" i="1" s="1"/>
  <c r="F23" i="1"/>
  <c r="G23" i="1" s="1"/>
  <c r="F22" i="1"/>
  <c r="G22" i="1" s="1"/>
  <c r="F21" i="1"/>
  <c r="F20" i="1"/>
  <c r="G20" i="1" s="1"/>
  <c r="H20" i="1" s="1"/>
  <c r="F19" i="1"/>
  <c r="F18" i="1"/>
  <c r="F17" i="1"/>
  <c r="G17" i="1" s="1"/>
  <c r="F16" i="1"/>
  <c r="G16" i="1" s="1"/>
  <c r="H16" i="1" s="1"/>
  <c r="F15" i="1"/>
  <c r="G15" i="1" s="1"/>
  <c r="F14" i="1"/>
  <c r="F13" i="1"/>
  <c r="G13" i="1" s="1"/>
  <c r="F12" i="1"/>
  <c r="G12" i="1" s="1"/>
  <c r="H12" i="1" s="1"/>
  <c r="F11" i="1"/>
  <c r="F10" i="1"/>
  <c r="G10" i="1" s="1"/>
  <c r="F9" i="1"/>
  <c r="G9" i="1" s="1"/>
  <c r="F8" i="1"/>
  <c r="G8" i="1" s="1"/>
  <c r="H8" i="1" s="1"/>
  <c r="F7" i="1"/>
  <c r="F6" i="1"/>
  <c r="F5" i="1"/>
  <c r="F4" i="1"/>
  <c r="G4" i="1" s="1"/>
  <c r="H4" i="1" s="1"/>
  <c r="F3" i="1"/>
  <c r="G3" i="1" s="1"/>
  <c r="F2" i="1"/>
  <c r="B2" i="4" l="1"/>
  <c r="H287" i="1"/>
  <c r="H225" i="1"/>
  <c r="H209" i="1"/>
  <c r="G2" i="1"/>
  <c r="H2" i="1" s="1"/>
  <c r="H193" i="1"/>
  <c r="G231" i="1"/>
  <c r="H231" i="1" s="1"/>
  <c r="H257" i="1"/>
  <c r="G14" i="1"/>
  <c r="H14" i="1" s="1"/>
  <c r="H77" i="1"/>
  <c r="G125" i="1"/>
  <c r="H125" i="1" s="1"/>
  <c r="G6" i="1"/>
  <c r="H6" i="1" s="1"/>
  <c r="G39" i="1"/>
  <c r="H39" i="1" s="1"/>
  <c r="G223" i="1"/>
  <c r="H223" i="1" s="1"/>
  <c r="H249" i="1"/>
  <c r="H239" i="1"/>
  <c r="G83" i="1"/>
  <c r="H83" i="1" s="1"/>
  <c r="H31" i="1"/>
  <c r="G71" i="1"/>
  <c r="H71" i="1" s="1"/>
  <c r="G85" i="1"/>
  <c r="H85" i="1" s="1"/>
  <c r="G133" i="1"/>
  <c r="H133" i="1" s="1"/>
  <c r="G215" i="1"/>
  <c r="H215" i="1" s="1"/>
  <c r="H241" i="1"/>
  <c r="H259" i="1"/>
  <c r="G276" i="1"/>
  <c r="H276" i="1" s="1"/>
  <c r="G284" i="1"/>
  <c r="H284" i="1" s="1"/>
  <c r="H247" i="1"/>
  <c r="H22" i="1"/>
  <c r="H23" i="1"/>
  <c r="H105" i="1"/>
  <c r="H79" i="1"/>
  <c r="H93" i="1"/>
  <c r="G113" i="1"/>
  <c r="H113" i="1" s="1"/>
  <c r="G207" i="1"/>
  <c r="H207" i="1" s="1"/>
  <c r="H251" i="1"/>
  <c r="H69" i="1"/>
  <c r="H15" i="1"/>
  <c r="H294" i="1"/>
  <c r="H97" i="1"/>
  <c r="H55" i="1"/>
  <c r="H10" i="1"/>
  <c r="G18" i="1"/>
  <c r="H18" i="1" s="1"/>
  <c r="G26" i="1"/>
  <c r="H26" i="1" s="1"/>
  <c r="G73" i="1"/>
  <c r="H73" i="1" s="1"/>
  <c r="H87" i="1"/>
  <c r="H101" i="1"/>
  <c r="G121" i="1"/>
  <c r="H121" i="1" s="1"/>
  <c r="H217" i="1"/>
  <c r="H235" i="1"/>
  <c r="G243" i="1"/>
  <c r="H243" i="1" s="1"/>
  <c r="H63" i="1"/>
  <c r="G19" i="1"/>
  <c r="H19" i="1" s="1"/>
  <c r="G27" i="1"/>
  <c r="H27" i="1" s="1"/>
  <c r="G35" i="1"/>
  <c r="H35" i="1" s="1"/>
  <c r="G43" i="1"/>
  <c r="H43" i="1" s="1"/>
  <c r="G51" i="1"/>
  <c r="H51" i="1" s="1"/>
  <c r="G59" i="1"/>
  <c r="H59" i="1" s="1"/>
  <c r="G67" i="1"/>
  <c r="H67" i="1" s="1"/>
  <c r="G81" i="1"/>
  <c r="H81" i="1" s="1"/>
  <c r="H109" i="1"/>
  <c r="G129" i="1"/>
  <c r="H129" i="1" s="1"/>
  <c r="G227" i="1"/>
  <c r="H227" i="1" s="1"/>
  <c r="G296" i="1"/>
  <c r="H296" i="1" s="1"/>
  <c r="G117" i="1"/>
  <c r="H117" i="1" s="1"/>
  <c r="H298" i="1"/>
  <c r="H47" i="1"/>
  <c r="H75" i="1"/>
  <c r="H89" i="1"/>
  <c r="G146" i="1"/>
  <c r="H146" i="1" s="1"/>
  <c r="H211" i="1"/>
  <c r="G219" i="1"/>
  <c r="H219" i="1" s="1"/>
  <c r="H255" i="1"/>
  <c r="G263" i="1"/>
  <c r="H263" i="1" s="1"/>
  <c r="G271" i="1"/>
  <c r="H271" i="1" s="1"/>
  <c r="H27" i="3"/>
  <c r="G20" i="3"/>
  <c r="H20" i="3" s="1"/>
  <c r="G48" i="3"/>
  <c r="H48" i="3" s="1"/>
  <c r="G32" i="3"/>
  <c r="H32" i="3" s="1"/>
  <c r="H35" i="3"/>
  <c r="H24" i="2"/>
  <c r="H44" i="2"/>
  <c r="G148" i="2"/>
  <c r="H148" i="2" s="1"/>
  <c r="H98" i="2"/>
  <c r="H37" i="2"/>
  <c r="G210" i="2"/>
  <c r="H210" i="2" s="1"/>
  <c r="H92" i="2"/>
  <c r="H161" i="2"/>
  <c r="H21" i="2"/>
  <c r="H109" i="2"/>
  <c r="G74" i="2"/>
  <c r="H74" i="2" s="1"/>
  <c r="H101" i="2"/>
  <c r="H22" i="2"/>
  <c r="H162" i="2"/>
  <c r="G170" i="2"/>
  <c r="H170" i="2" s="1"/>
  <c r="H13" i="2"/>
  <c r="H46" i="2"/>
  <c r="G94" i="2"/>
  <c r="H94" i="2" s="1"/>
  <c r="H212" i="2"/>
  <c r="H8" i="2"/>
  <c r="H68" i="2"/>
  <c r="H122" i="2"/>
  <c r="H96" i="2"/>
  <c r="H114" i="2"/>
  <c r="G157" i="2"/>
  <c r="H157" i="2" s="1"/>
  <c r="G164" i="2"/>
  <c r="H164" i="2" s="1"/>
  <c r="H181" i="2"/>
  <c r="G214" i="2"/>
  <c r="H214" i="2" s="1"/>
  <c r="G26" i="2"/>
  <c r="H26" i="2" s="1"/>
  <c r="G149" i="2"/>
  <c r="H149" i="2" s="1"/>
  <c r="H233" i="2"/>
  <c r="G242" i="2"/>
  <c r="H242" i="2" s="1"/>
  <c r="G20" i="2"/>
  <c r="H20" i="2" s="1"/>
  <c r="H184" i="2"/>
  <c r="G187" i="1"/>
  <c r="H187" i="1" s="1"/>
  <c r="G206" i="1"/>
  <c r="H206" i="1" s="1"/>
  <c r="G214" i="1"/>
  <c r="H214" i="1" s="1"/>
  <c r="G222" i="1"/>
  <c r="H222" i="1" s="1"/>
  <c r="G230" i="1"/>
  <c r="H230" i="1" s="1"/>
  <c r="G286" i="1"/>
  <c r="H286" i="1" s="1"/>
  <c r="G27" i="2"/>
  <c r="H27" i="2" s="1"/>
  <c r="G36" i="2"/>
  <c r="H36" i="2" s="1"/>
  <c r="G103" i="2"/>
  <c r="H103" i="2" s="1"/>
  <c r="G112" i="2"/>
  <c r="H112" i="2" s="1"/>
  <c r="G221" i="2"/>
  <c r="H221" i="2" s="1"/>
  <c r="G238" i="2"/>
  <c r="H238" i="2" s="1"/>
  <c r="G137" i="1"/>
  <c r="H137" i="1" s="1"/>
  <c r="H150" i="1"/>
  <c r="G155" i="1"/>
  <c r="H155" i="1" s="1"/>
  <c r="G160" i="1"/>
  <c r="H160" i="1" s="1"/>
  <c r="G165" i="1"/>
  <c r="H165" i="1" s="1"/>
  <c r="G171" i="1"/>
  <c r="H171" i="1" s="1"/>
  <c r="G179" i="1"/>
  <c r="H179" i="1" s="1"/>
  <c r="G188" i="1"/>
  <c r="H188" i="1" s="1"/>
  <c r="G62" i="2"/>
  <c r="H62" i="2" s="1"/>
  <c r="H88" i="2"/>
  <c r="G151" i="2"/>
  <c r="H151" i="2" s="1"/>
  <c r="G160" i="2"/>
  <c r="H160" i="2" s="1"/>
  <c r="H190" i="2"/>
  <c r="G206" i="2"/>
  <c r="H206" i="2" s="1"/>
  <c r="H230" i="2"/>
  <c r="H11" i="3"/>
  <c r="G5" i="1"/>
  <c r="H5" i="1" s="1"/>
  <c r="G37" i="1"/>
  <c r="H37" i="1" s="1"/>
  <c r="G57" i="1"/>
  <c r="H57" i="1" s="1"/>
  <c r="G65" i="1"/>
  <c r="H65" i="1" s="1"/>
  <c r="G172" i="1"/>
  <c r="H172" i="1" s="1"/>
  <c r="G180" i="1"/>
  <c r="H180" i="1" s="1"/>
  <c r="G198" i="1"/>
  <c r="H198" i="1" s="1"/>
  <c r="G279" i="1"/>
  <c r="H279" i="1" s="1"/>
  <c r="G29" i="2"/>
  <c r="H29" i="2" s="1"/>
  <c r="G145" i="2"/>
  <c r="H145" i="2" s="1"/>
  <c r="G240" i="2"/>
  <c r="H240" i="2" s="1"/>
  <c r="G37" i="3"/>
  <c r="H37" i="3" s="1"/>
  <c r="G47" i="3"/>
  <c r="H47" i="3" s="1"/>
  <c r="G21" i="1"/>
  <c r="H21" i="1" s="1"/>
  <c r="G45" i="1"/>
  <c r="H45" i="1" s="1"/>
  <c r="G61" i="1"/>
  <c r="H61" i="1" s="1"/>
  <c r="H13" i="1"/>
  <c r="H17" i="1"/>
  <c r="H25" i="1"/>
  <c r="H29" i="1"/>
  <c r="H33" i="1"/>
  <c r="H41" i="1"/>
  <c r="H49" i="1"/>
  <c r="H53" i="1"/>
  <c r="G142" i="1"/>
  <c r="H142" i="1" s="1"/>
  <c r="G151" i="1"/>
  <c r="H151" i="1" s="1"/>
  <c r="G156" i="1"/>
  <c r="H156" i="1" s="1"/>
  <c r="G166" i="1"/>
  <c r="H166" i="1" s="1"/>
  <c r="H189" i="1"/>
  <c r="G208" i="1"/>
  <c r="H208" i="1" s="1"/>
  <c r="G216" i="1"/>
  <c r="H216" i="1" s="1"/>
  <c r="G224" i="1"/>
  <c r="H224" i="1" s="1"/>
  <c r="G232" i="1"/>
  <c r="H232" i="1" s="1"/>
  <c r="G240" i="1"/>
  <c r="H240" i="1" s="1"/>
  <c r="G248" i="1"/>
  <c r="H248" i="1" s="1"/>
  <c r="G256" i="1"/>
  <c r="H256" i="1" s="1"/>
  <c r="G264" i="1"/>
  <c r="H264" i="1" s="1"/>
  <c r="G55" i="2"/>
  <c r="H55" i="2" s="1"/>
  <c r="G64" i="2"/>
  <c r="H64" i="2" s="1"/>
  <c r="G97" i="2"/>
  <c r="H97" i="2" s="1"/>
  <c r="G138" i="2"/>
  <c r="H138" i="2" s="1"/>
  <c r="G199" i="2"/>
  <c r="H199" i="2" s="1"/>
  <c r="G208" i="2"/>
  <c r="H208" i="2" s="1"/>
  <c r="H147" i="1"/>
  <c r="H167" i="1"/>
  <c r="H173" i="1"/>
  <c r="H181" i="1"/>
  <c r="G190" i="1"/>
  <c r="H190" i="1" s="1"/>
  <c r="G200" i="1"/>
  <c r="H200" i="1" s="1"/>
  <c r="G14" i="2"/>
  <c r="H14" i="2" s="1"/>
  <c r="G174" i="1"/>
  <c r="H174" i="1" s="1"/>
  <c r="G182" i="1"/>
  <c r="H182" i="1" s="1"/>
  <c r="G266" i="1"/>
  <c r="H266" i="1" s="1"/>
  <c r="G7" i="2"/>
  <c r="H7" i="2" s="1"/>
  <c r="G90" i="2"/>
  <c r="H90" i="2" s="1"/>
  <c r="G123" i="2"/>
  <c r="H123" i="2" s="1"/>
  <c r="G132" i="2"/>
  <c r="H132" i="2" s="1"/>
  <c r="G193" i="2"/>
  <c r="H193" i="2" s="1"/>
  <c r="G13" i="3"/>
  <c r="H13" i="3" s="1"/>
  <c r="G23" i="3"/>
  <c r="H23" i="3" s="1"/>
  <c r="G40" i="3"/>
  <c r="H40" i="3" s="1"/>
  <c r="G143" i="1"/>
  <c r="H143" i="1" s="1"/>
  <c r="G157" i="1"/>
  <c r="H157" i="1" s="1"/>
  <c r="G192" i="1"/>
  <c r="H192" i="1" s="1"/>
  <c r="G210" i="1"/>
  <c r="H210" i="1" s="1"/>
  <c r="G218" i="1"/>
  <c r="H218" i="1" s="1"/>
  <c r="G226" i="1"/>
  <c r="H226" i="1" s="1"/>
  <c r="G234" i="1"/>
  <c r="H234" i="1" s="1"/>
  <c r="G16" i="2"/>
  <c r="H16" i="2" s="1"/>
  <c r="H135" i="1"/>
  <c r="G139" i="1"/>
  <c r="H139" i="1" s="1"/>
  <c r="G148" i="1"/>
  <c r="H148" i="1" s="1"/>
  <c r="H162" i="1"/>
  <c r="G168" i="1"/>
  <c r="H168" i="1" s="1"/>
  <c r="G175" i="1"/>
  <c r="H175" i="1" s="1"/>
  <c r="G183" i="1"/>
  <c r="H183" i="1" s="1"/>
  <c r="G202" i="1"/>
  <c r="H202" i="1" s="1"/>
  <c r="H283" i="1"/>
  <c r="H33" i="2"/>
  <c r="G49" i="2"/>
  <c r="H49" i="2" s="1"/>
  <c r="G84" i="2"/>
  <c r="H84" i="2" s="1"/>
  <c r="G186" i="2"/>
  <c r="H186" i="2" s="1"/>
  <c r="G42" i="3"/>
  <c r="H42" i="3" s="1"/>
  <c r="G176" i="1"/>
  <c r="H176" i="1" s="1"/>
  <c r="G184" i="1"/>
  <c r="H184" i="1" s="1"/>
  <c r="F299" i="1"/>
  <c r="G75" i="2"/>
  <c r="H75" i="2" s="1"/>
  <c r="G125" i="2"/>
  <c r="H125" i="2" s="1"/>
  <c r="G171" i="2"/>
  <c r="H171" i="2" s="1"/>
  <c r="G16" i="3"/>
  <c r="H16" i="3" s="1"/>
  <c r="H9" i="1"/>
  <c r="G7" i="1"/>
  <c r="H3" i="1"/>
  <c r="G140" i="1"/>
  <c r="H140" i="1" s="1"/>
  <c r="H158" i="1"/>
  <c r="G163" i="1"/>
  <c r="H163" i="1" s="1"/>
  <c r="G169" i="1"/>
  <c r="H169" i="1" s="1"/>
  <c r="G194" i="1"/>
  <c r="H194" i="1" s="1"/>
  <c r="G204" i="1"/>
  <c r="H204" i="1" s="1"/>
  <c r="G212" i="1"/>
  <c r="H212" i="1" s="1"/>
  <c r="G220" i="1"/>
  <c r="H220" i="1" s="1"/>
  <c r="G228" i="1"/>
  <c r="H228" i="1" s="1"/>
  <c r="G236" i="1"/>
  <c r="H236" i="1" s="1"/>
  <c r="G244" i="1"/>
  <c r="H244" i="1" s="1"/>
  <c r="G252" i="1"/>
  <c r="H252" i="1" s="1"/>
  <c r="G260" i="1"/>
  <c r="H260" i="1" s="1"/>
  <c r="G292" i="1"/>
  <c r="H292" i="1" s="1"/>
  <c r="F247" i="2"/>
  <c r="G42" i="2"/>
  <c r="H42" i="2" s="1"/>
  <c r="G219" i="2"/>
  <c r="H219" i="2" s="1"/>
  <c r="G235" i="2"/>
  <c r="H235" i="2" s="1"/>
  <c r="G245" i="2"/>
  <c r="H245" i="2" s="1"/>
  <c r="G11" i="1"/>
  <c r="H11" i="1" s="1"/>
  <c r="G136" i="1"/>
  <c r="H136" i="1" s="1"/>
  <c r="G149" i="1"/>
  <c r="H149" i="1" s="1"/>
  <c r="H177" i="1"/>
  <c r="H185" i="1"/>
  <c r="G77" i="2"/>
  <c r="H77" i="2" s="1"/>
  <c r="G110" i="2"/>
  <c r="H110" i="2" s="1"/>
  <c r="G180" i="2"/>
  <c r="H180" i="2" s="1"/>
  <c r="G18" i="3"/>
  <c r="H18" i="3" s="1"/>
  <c r="H154" i="1"/>
  <c r="G159" i="1"/>
  <c r="H159" i="1" s="1"/>
  <c r="G164" i="1"/>
  <c r="H164" i="1" s="1"/>
  <c r="G170" i="1"/>
  <c r="H170" i="1" s="1"/>
  <c r="G178" i="1"/>
  <c r="H178" i="1" s="1"/>
  <c r="G186" i="1"/>
  <c r="H186" i="1" s="1"/>
  <c r="G196" i="1"/>
  <c r="H196" i="1" s="1"/>
  <c r="H270" i="1"/>
  <c r="G277" i="1"/>
  <c r="H277" i="1" s="1"/>
  <c r="H136" i="2"/>
  <c r="G158" i="2"/>
  <c r="H158" i="2" s="1"/>
  <c r="G173" i="2"/>
  <c r="H173" i="2" s="1"/>
  <c r="H197" i="2"/>
  <c r="H282" i="1"/>
  <c r="G291" i="1"/>
  <c r="H291" i="1" s="1"/>
  <c r="H295" i="1"/>
  <c r="G28" i="2"/>
  <c r="H28" i="2" s="1"/>
  <c r="H32" i="2"/>
  <c r="G41" i="2"/>
  <c r="H41" i="2" s="1"/>
  <c r="G54" i="2"/>
  <c r="H54" i="2" s="1"/>
  <c r="H58" i="2"/>
  <c r="G76" i="2"/>
  <c r="H76" i="2" s="1"/>
  <c r="H80" i="2"/>
  <c r="G265" i="1"/>
  <c r="H265" i="1" s="1"/>
  <c r="G2" i="2"/>
  <c r="H11" i="2"/>
  <c r="G15" i="2"/>
  <c r="H15" i="2" s="1"/>
  <c r="H59" i="2"/>
  <c r="G63" i="2"/>
  <c r="H63" i="2" s="1"/>
  <c r="H107" i="2"/>
  <c r="G111" i="2"/>
  <c r="H111" i="2" s="1"/>
  <c r="H155" i="2"/>
  <c r="G159" i="2"/>
  <c r="H159" i="2" s="1"/>
  <c r="H203" i="2"/>
  <c r="G207" i="2"/>
  <c r="H207" i="2" s="1"/>
  <c r="G239" i="2"/>
  <c r="H239" i="2" s="1"/>
  <c r="G244" i="2"/>
  <c r="H244" i="2" s="1"/>
  <c r="G17" i="3"/>
  <c r="H17" i="3" s="1"/>
  <c r="G22" i="3"/>
  <c r="H22" i="3" s="1"/>
  <c r="G41" i="3"/>
  <c r="H41" i="3" s="1"/>
  <c r="G46" i="3"/>
  <c r="H46" i="3" s="1"/>
  <c r="B3" i="4"/>
  <c r="G238" i="1"/>
  <c r="C3" i="4" s="1"/>
  <c r="G242" i="1"/>
  <c r="H242" i="1" s="1"/>
  <c r="G246" i="1"/>
  <c r="H246" i="1" s="1"/>
  <c r="G250" i="1"/>
  <c r="H250" i="1" s="1"/>
  <c r="G254" i="1"/>
  <c r="H254" i="1" s="1"/>
  <c r="G258" i="1"/>
  <c r="H258" i="1" s="1"/>
  <c r="G262" i="1"/>
  <c r="H262" i="1" s="1"/>
  <c r="G288" i="1"/>
  <c r="H288" i="1" s="1"/>
  <c r="H297" i="1"/>
  <c r="G3" i="2"/>
  <c r="H3" i="2" s="1"/>
  <c r="G12" i="2"/>
  <c r="H12" i="2" s="1"/>
  <c r="G25" i="2"/>
  <c r="H25" i="2" s="1"/>
  <c r="G38" i="2"/>
  <c r="H38" i="2" s="1"/>
  <c r="H47" i="2"/>
  <c r="G51" i="2"/>
  <c r="H51" i="2" s="1"/>
  <c r="G60" i="2"/>
  <c r="H60" i="2" s="1"/>
  <c r="G73" i="2"/>
  <c r="H73" i="2" s="1"/>
  <c r="G86" i="2"/>
  <c r="H86" i="2" s="1"/>
  <c r="G99" i="2"/>
  <c r="H99" i="2" s="1"/>
  <c r="G108" i="2"/>
  <c r="H108" i="2" s="1"/>
  <c r="G121" i="2"/>
  <c r="H121" i="2" s="1"/>
  <c r="G134" i="2"/>
  <c r="H134" i="2" s="1"/>
  <c r="G147" i="2"/>
  <c r="H147" i="2" s="1"/>
  <c r="G156" i="2"/>
  <c r="H156" i="2" s="1"/>
  <c r="G169" i="2"/>
  <c r="H169" i="2" s="1"/>
  <c r="G182" i="2"/>
  <c r="H182" i="2" s="1"/>
  <c r="G195" i="2"/>
  <c r="H195" i="2" s="1"/>
  <c r="G204" i="2"/>
  <c r="H204" i="2" s="1"/>
  <c r="G217" i="2"/>
  <c r="H217" i="2" s="1"/>
  <c r="G226" i="2"/>
  <c r="H226" i="2" s="1"/>
  <c r="G4" i="3"/>
  <c r="H4" i="3" s="1"/>
  <c r="G28" i="3"/>
  <c r="H28" i="3" s="1"/>
  <c r="G52" i="3"/>
  <c r="H52" i="3" s="1"/>
  <c r="G69" i="2"/>
  <c r="H69" i="2" s="1"/>
  <c r="G82" i="2"/>
  <c r="H82" i="2" s="1"/>
  <c r="G95" i="2"/>
  <c r="H95" i="2" s="1"/>
  <c r="G104" i="2"/>
  <c r="H104" i="2" s="1"/>
  <c r="G117" i="2"/>
  <c r="H117" i="2" s="1"/>
  <c r="G130" i="2"/>
  <c r="H130" i="2" s="1"/>
  <c r="H139" i="2"/>
  <c r="G143" i="2"/>
  <c r="H143" i="2" s="1"/>
  <c r="H187" i="2"/>
  <c r="G191" i="2"/>
  <c r="H191" i="2" s="1"/>
  <c r="G231" i="2"/>
  <c r="H231" i="2" s="1"/>
  <c r="G236" i="2"/>
  <c r="H236" i="2" s="1"/>
  <c r="G9" i="3"/>
  <c r="H9" i="3" s="1"/>
  <c r="G14" i="3"/>
  <c r="H14" i="3" s="1"/>
  <c r="G33" i="3"/>
  <c r="H33" i="3" s="1"/>
  <c r="G38" i="3"/>
  <c r="H38" i="3" s="1"/>
  <c r="G267" i="1"/>
  <c r="H267" i="1" s="1"/>
  <c r="G280" i="1"/>
  <c r="H280" i="1" s="1"/>
  <c r="H289" i="1"/>
  <c r="G293" i="1"/>
  <c r="H293" i="1" s="1"/>
  <c r="G4" i="2"/>
  <c r="H4" i="2" s="1"/>
  <c r="G17" i="2"/>
  <c r="H17" i="2" s="1"/>
  <c r="G30" i="2"/>
  <c r="H30" i="2" s="1"/>
  <c r="H39" i="2"/>
  <c r="G43" i="2"/>
  <c r="H43" i="2" s="1"/>
  <c r="G52" i="2"/>
  <c r="H52" i="2" s="1"/>
  <c r="G65" i="2"/>
  <c r="H65" i="2" s="1"/>
  <c r="H87" i="2"/>
  <c r="G91" i="2"/>
  <c r="H91" i="2" s="1"/>
  <c r="H135" i="2"/>
  <c r="G191" i="1"/>
  <c r="H191" i="1" s="1"/>
  <c r="G195" i="1"/>
  <c r="H195" i="1" s="1"/>
  <c r="G199" i="1"/>
  <c r="H199" i="1" s="1"/>
  <c r="G203" i="1"/>
  <c r="H203" i="1" s="1"/>
  <c r="G48" i="2"/>
  <c r="H48" i="2" s="1"/>
  <c r="G61" i="2"/>
  <c r="H61" i="2" s="1"/>
  <c r="G183" i="2"/>
  <c r="H183" i="2" s="1"/>
  <c r="G192" i="2"/>
  <c r="H192" i="2" s="1"/>
  <c r="G205" i="2"/>
  <c r="H205" i="2" s="1"/>
  <c r="G218" i="2"/>
  <c r="H218" i="2" s="1"/>
  <c r="G227" i="2"/>
  <c r="H227" i="2" s="1"/>
  <c r="G232" i="2"/>
  <c r="H232" i="2" s="1"/>
  <c r="G237" i="2"/>
  <c r="H237" i="2" s="1"/>
  <c r="G5" i="3"/>
  <c r="H5" i="3" s="1"/>
  <c r="G10" i="3"/>
  <c r="H10" i="3" s="1"/>
  <c r="G15" i="3"/>
  <c r="H15" i="3" s="1"/>
  <c r="G29" i="3"/>
  <c r="H29" i="3" s="1"/>
  <c r="G34" i="3"/>
  <c r="H34" i="3" s="1"/>
  <c r="G39" i="3"/>
  <c r="H39" i="3" s="1"/>
  <c r="G53" i="3"/>
  <c r="H53" i="3" s="1"/>
  <c r="H281" i="1"/>
  <c r="G285" i="1"/>
  <c r="H285" i="1" s="1"/>
  <c r="H31" i="2"/>
  <c r="G35" i="2"/>
  <c r="H35" i="2" s="1"/>
  <c r="H79" i="2"/>
  <c r="G83" i="2"/>
  <c r="H83" i="2" s="1"/>
  <c r="H127" i="2"/>
  <c r="G131" i="2"/>
  <c r="H131" i="2" s="1"/>
  <c r="H175" i="2"/>
  <c r="G179" i="2"/>
  <c r="H179" i="2" s="1"/>
  <c r="H223" i="2"/>
  <c r="H228" i="2"/>
  <c r="H6" i="3"/>
  <c r="H25" i="3"/>
  <c r="H30" i="3"/>
  <c r="H49" i="3"/>
  <c r="F54" i="3"/>
  <c r="H269" i="1"/>
  <c r="G273" i="1"/>
  <c r="H273" i="1" s="1"/>
  <c r="H19" i="2"/>
  <c r="G23" i="2"/>
  <c r="H23" i="2" s="1"/>
  <c r="H67" i="2"/>
  <c r="G71" i="2"/>
  <c r="H71" i="2" s="1"/>
  <c r="H115" i="2"/>
  <c r="G119" i="2"/>
  <c r="H119" i="2" s="1"/>
  <c r="H163" i="2"/>
  <c r="G167" i="2"/>
  <c r="H167" i="2" s="1"/>
  <c r="H211" i="2"/>
  <c r="G215" i="2"/>
  <c r="H215" i="2" s="1"/>
  <c r="G224" i="2"/>
  <c r="H224" i="2" s="1"/>
  <c r="G243" i="2"/>
  <c r="H243" i="2" s="1"/>
  <c r="G2" i="3"/>
  <c r="G21" i="3"/>
  <c r="H21" i="3" s="1"/>
  <c r="G26" i="3"/>
  <c r="H26" i="3" s="1"/>
  <c r="G45" i="3"/>
  <c r="H45" i="3" s="1"/>
  <c r="G50" i="3"/>
  <c r="H50" i="3" s="1"/>
  <c r="B4" i="4" l="1"/>
  <c r="G299" i="1"/>
  <c r="H7" i="1"/>
  <c r="D2" i="4"/>
  <c r="C2" i="4"/>
  <c r="C4" i="4" s="1"/>
  <c r="G54" i="3"/>
  <c r="H238" i="1"/>
  <c r="D3" i="4" s="1"/>
  <c r="H2" i="3"/>
  <c r="H54" i="3" s="1"/>
  <c r="H2" i="2"/>
  <c r="H247" i="2" s="1"/>
  <c r="G247" i="2"/>
  <c r="D4" i="4" l="1"/>
  <c r="H299" i="1"/>
</calcChain>
</file>

<file path=xl/sharedStrings.xml><?xml version="1.0" encoding="utf-8"?>
<sst xmlns="http://schemas.openxmlformats.org/spreadsheetml/2006/main" count="3177" uniqueCount="428">
  <si>
    <t>DATE</t>
  </si>
  <si>
    <t>ARTICLE</t>
  </si>
  <si>
    <t>QUANTITE</t>
  </si>
  <si>
    <t>UNITE</t>
  </si>
  <si>
    <t>PRIX UNITAIRE</t>
  </si>
  <si>
    <t>MONTANT TOTAL HT</t>
  </si>
  <si>
    <t>TVA 19%</t>
  </si>
  <si>
    <t>TOTAL TTC</t>
  </si>
  <si>
    <t>FOURNISSEUR</t>
  </si>
  <si>
    <t>PROJET</t>
  </si>
  <si>
    <t>N FACTURE</t>
  </si>
  <si>
    <t>NUM CHEQUE</t>
  </si>
  <si>
    <t xml:space="preserve">CHAUSSURE S26 </t>
  </si>
  <si>
    <t>U</t>
  </si>
  <si>
    <t>GR SAF PROTECT</t>
  </si>
  <si>
    <t>VIEUX KOUBA</t>
  </si>
  <si>
    <t>832/2026</t>
  </si>
  <si>
    <t>BLIE TRAVAIL NEO</t>
  </si>
  <si>
    <t>BLUE TRAVAIL POWER BLUE</t>
  </si>
  <si>
    <t>BLUE TRAVAIL CROWN</t>
  </si>
  <si>
    <t>GILET JAUNE BORDURE</t>
  </si>
  <si>
    <t>CHAUSSURE NAIKI S3</t>
  </si>
  <si>
    <t xml:space="preserve">FOURNITURE ET POSE SE BATIS SUPPORT </t>
  </si>
  <si>
    <t>SARL OCTOGONIA</t>
  </si>
  <si>
    <t xml:space="preserve">GANT BARBE VERT PISTACHE/BLUE NOIR RABILOTA </t>
  </si>
  <si>
    <t>SNC MASSOUMA DOUDOU ET CIE</t>
  </si>
  <si>
    <t>MASQUE POUSSIERE BLANC VAST KN95 SAC 5PCS</t>
  </si>
  <si>
    <t>LUNETTE DE SABLE TRANSPARENT ELASTIQUE</t>
  </si>
  <si>
    <t>BOMBE PEINTURE ROUGE ALLAL</t>
  </si>
  <si>
    <t>CRAION MACON PLAT 12 PS MINGLI TISON LAMBOSS</t>
  </si>
  <si>
    <t>METRE NOIAR 5M*25MM LAMBOSS</t>
  </si>
  <si>
    <t>NIVEAU AIMENT 50 CM CHROME SENSH ST 11285</t>
  </si>
  <si>
    <t>POINTES 100*20</t>
  </si>
  <si>
    <t>POINTES 70*17</t>
  </si>
  <si>
    <t>GRIAGE AB VERT CLOTURE 2M*100M</t>
  </si>
  <si>
    <t>PITON FERME N*14 25PS HBO</t>
  </si>
  <si>
    <t>CHEVILLE ROUGE N10 S/100PS</t>
  </si>
  <si>
    <t>DISQUE METAL AB PRON 15</t>
  </si>
  <si>
    <t>CIMENT BLANC 25G</t>
  </si>
  <si>
    <t>FORET A BETON SDS 8*160 SL AB SOFT/STER</t>
  </si>
  <si>
    <t>FORET SDS BETON 10*160 SOFT DUNE</t>
  </si>
  <si>
    <t>FORET BETON SDS N12 *160 DIAGER SDS</t>
  </si>
  <si>
    <t xml:space="preserve">BIDON METAL DE MANTE CHARGE </t>
  </si>
  <si>
    <t>AMIR LAVE SOL AMIR</t>
  </si>
  <si>
    <t>JAVEL 12 BIDON 5L NASEH</t>
  </si>
  <si>
    <t xml:space="preserve">DETARTRANTR BOUITEILE 720ML </t>
  </si>
  <si>
    <t>SAVON LIQUIDE 5K AMAINS CLUN PLUS</t>
  </si>
  <si>
    <t>BRUITTE TUBE NOIR A SOUDI T8</t>
  </si>
  <si>
    <t xml:space="preserve">FIL GALVA PLAFONE 1,5 15 KG </t>
  </si>
  <si>
    <t>TRANCENEUSE 230 CROWN 220W CT13070</t>
  </si>
  <si>
    <t>DISQUE DIAMOND 230  M VERT CROWN</t>
  </si>
  <si>
    <t>CHEVILLES FERME N8 BLUE 1 CH S/100PS</t>
  </si>
  <si>
    <t>RAMET ANTI RAT 1 KG</t>
  </si>
  <si>
    <t xml:space="preserve">PRISE SICURY 2P+16 A Français BLANC </t>
  </si>
  <si>
    <t>CFEA</t>
  </si>
  <si>
    <t>SUPPORT 2M EIKON/ARKE/PLANA P/GUIDE DIN</t>
  </si>
  <si>
    <t xml:space="preserve">COFFRET ENCASTR 24M BLANC </t>
  </si>
  <si>
    <t>BOITE D ENCASTR POUR COFFRET VS3124</t>
  </si>
  <si>
    <t>INTERFACE USB/KNX</t>
  </si>
  <si>
    <t>CEFA</t>
  </si>
  <si>
    <t>DISTRIBUTEUR 5 VOIES D 16 1"-26/34 A VISSER</t>
  </si>
  <si>
    <t>BENROKHROCH ABDESSAMAD ETS AGUATECH</t>
  </si>
  <si>
    <t>0153/2026</t>
  </si>
  <si>
    <t>OD</t>
  </si>
  <si>
    <t>DISTRIBUTEUR 6 VOIES D 16 1"-26/34 A VISSER</t>
  </si>
  <si>
    <t>DISTRIBUTEUR 6 VOIES D 16 3/4"-20/27 A VISSER</t>
  </si>
  <si>
    <t>DISTRIBUTEUR 5 VOIES D 16 3/4"-20/27 A VISSER</t>
  </si>
  <si>
    <t>DISTRIBUTEUR 4 VOIES D 16 3/4"-20/27 A VISSER</t>
  </si>
  <si>
    <t>DISTRIBUTEUR 3 VOIES D 16 3/4"-20/27 A VISSER</t>
  </si>
  <si>
    <t>TUBE MC PEX /AL/PEX ALIMENTAIRE D 16 CALORIFUGE BLUE</t>
  </si>
  <si>
    <t>TUBE MC PEX /AL/PEX ALIMENTAIRE D 16 CALORIFUGE ROUGE</t>
  </si>
  <si>
    <t>TUBE MC CHILAI PEX D 16 GAINE BLUE</t>
  </si>
  <si>
    <t>TUBE MC CHILAI PEX D 16 GAINE ROUGE</t>
  </si>
  <si>
    <t>TUBE SIMPLE D 32 PN-20 PPRC</t>
  </si>
  <si>
    <t>COUDE 90° D32 PPRC</t>
  </si>
  <si>
    <t>COUDE 45° D32 PPRC</t>
  </si>
  <si>
    <t>MAMELON AVEC RACCORD D32*1"PPRC</t>
  </si>
  <si>
    <t>IMA COLILER LARGE JOINT 1"(26/34)</t>
  </si>
  <si>
    <t>CHEVILLE PLASTIQUE N 10 GB</t>
  </si>
  <si>
    <t>APPLIQUE DOUBLE D 16*1/2" - 15/21  MC A SERTIR</t>
  </si>
  <si>
    <t>glr tee 26*34 ff</t>
  </si>
  <si>
    <t>VANNE D ARRET  MXM D 1 "-26/34 BRAS ROUGE</t>
  </si>
  <si>
    <t>VANNE D AREET MXF D 3/4 "-20/27</t>
  </si>
  <si>
    <t>GLER REDUCTION 26*20</t>
  </si>
  <si>
    <t>GLER REDUCTION 20*27</t>
  </si>
  <si>
    <t>GLER REDUCTION 26*34</t>
  </si>
  <si>
    <t>RACCORD ECROU LIBRE D 26*1"26/34 MC A SENTIR</t>
  </si>
  <si>
    <t>RACCORD ECROU LIBRE D26 * 3/4"26/34 MC A SENTIR</t>
  </si>
  <si>
    <t>CODE ECROU LIBRE  D 26*1"26/34 MC A VISSER</t>
  </si>
  <si>
    <t>GFLR BOUCHON 20*27 MAL</t>
  </si>
  <si>
    <t>GFLR BOUCHON 20*27 FEM</t>
  </si>
  <si>
    <t>GLR TEE MM 20/27</t>
  </si>
  <si>
    <t>VANNE D ARRET COUDE ECROU LIBRE D 20*3/4"-20 /27 MC A VISSER</t>
  </si>
  <si>
    <t>COLLIER A FRAPPER DOUBLE BLEU 25</t>
  </si>
  <si>
    <t>COLLIER A FRAPPER QUATRE BLEU 25</t>
  </si>
  <si>
    <t>COUDE FEMMELE D26 *1"-26/34 MC A SENTIR</t>
  </si>
  <si>
    <t>GLR MAMELON REDUIT 216*20</t>
  </si>
  <si>
    <t>VANNE COUDEE MALE 26*2" PROTHERM</t>
  </si>
  <si>
    <t xml:space="preserve">TEFLON LIQUIDE BLEU 50 ML </t>
  </si>
  <si>
    <t>SIKA WALL 10 PRIMER PL20</t>
  </si>
  <si>
    <t>PCS</t>
  </si>
  <si>
    <t>BACHA FARID</t>
  </si>
  <si>
    <t>0024/2026</t>
  </si>
  <si>
    <t>POINTE DE PARIS 100</t>
  </si>
  <si>
    <t>KG</t>
  </si>
  <si>
    <t>SDS PLUS P4/8*210 MM</t>
  </si>
  <si>
    <t>EURL HADDAD EQUIPMENT PROFFESIONNEL</t>
  </si>
  <si>
    <t>00025/2026</t>
  </si>
  <si>
    <t>SDS FORET MARTEAU 14*200 MM</t>
  </si>
  <si>
    <t>TUBE PVC D 125 PNO6 COLLER EP3,2</t>
  </si>
  <si>
    <t>0102/2026</t>
  </si>
  <si>
    <t>Y REDUIT PVC D110*50</t>
  </si>
  <si>
    <t>Y REDUIT PVC D110*40</t>
  </si>
  <si>
    <t>Y REDUIT PVC D80*40</t>
  </si>
  <si>
    <t>Y REDUIT PVC D110</t>
  </si>
  <si>
    <t>CHEVILLE PLASTIAUE N10</t>
  </si>
  <si>
    <t>TUBE PVC D10 PN06 A COLLER EP 2,0</t>
  </si>
  <si>
    <t>TUBE PVC CHALI D40PN04</t>
  </si>
  <si>
    <t>TUBE PVC CHALI D50PN04</t>
  </si>
  <si>
    <t xml:space="preserve">COLLIER SERRAGE D110 A JOINT </t>
  </si>
  <si>
    <t>TUBE PVC D125 PN06 COLLER EP3,2</t>
  </si>
  <si>
    <t>Y REDUIT PVD D110*50</t>
  </si>
  <si>
    <t>Y REDUIT PVD D110*40</t>
  </si>
  <si>
    <t>Y REDUIT PVD D80*40</t>
  </si>
  <si>
    <t>Y REDUIT DOUBLE PVC D 110</t>
  </si>
  <si>
    <t>TUBE PVC D110 A COLLER EP2,0</t>
  </si>
  <si>
    <t>COLIER SERRAGE D110 A JOINT</t>
  </si>
  <si>
    <t>POMPE A VIDE CAVE BC15/50 PEDROLLO</t>
  </si>
  <si>
    <t>SARL GREEN LANDIN</t>
  </si>
  <si>
    <t xml:space="preserve">RENFRON D ANGLE 3M DEPLOYEL </t>
  </si>
  <si>
    <t>ML</t>
  </si>
  <si>
    <t>AHMED MEDJIOUI</t>
  </si>
  <si>
    <t>00002/2026</t>
  </si>
  <si>
    <t xml:space="preserve">MASTERBRACE ADH 2200 KIT 1 KG </t>
  </si>
  <si>
    <t>0079/2026</t>
  </si>
  <si>
    <t>TIGE FLIETTE 9*1000 ZNP</t>
  </si>
  <si>
    <t>SARL OUTBOUL</t>
  </si>
  <si>
    <t>CHEVILLE HKD 08</t>
  </si>
  <si>
    <t>TUBE PVC D160 PN06 COLLER</t>
  </si>
  <si>
    <t>0154/2026</t>
  </si>
  <si>
    <t>TUBE PVC D160 PN06 COLLER EP3,2</t>
  </si>
  <si>
    <t xml:space="preserve">TUBE PVC D110 PN06 </t>
  </si>
  <si>
    <t>TUBE PVS D200 PNO A COLLER 4,9MM</t>
  </si>
  <si>
    <t>TUBE PVC F80 PN04  A COLLER EP1,8MM</t>
  </si>
  <si>
    <t>Y SIMPLE PVC D80 SOCOMOR</t>
  </si>
  <si>
    <t>Y SIMPLE PVC D110 SOCOMOR</t>
  </si>
  <si>
    <t>REDUCTION PVC D110*80 SCOMOR</t>
  </si>
  <si>
    <t>TE SIMPLE PVC D160 SCOMOR</t>
  </si>
  <si>
    <t>TE SIMPLE PVC D200 SCOMOR</t>
  </si>
  <si>
    <t>TE SIMPLE PVC D125 SCOMOR</t>
  </si>
  <si>
    <t>REDUCTION PVC D  200*110 SCOMOR</t>
  </si>
  <si>
    <t>REDUCTION PVC D  160*110 SCOMOR</t>
  </si>
  <si>
    <t>REDUCTION PVC D  110*80 SCOMOR</t>
  </si>
  <si>
    <t>COUDE PVS 45° D80 SCOMOR</t>
  </si>
  <si>
    <t>COUDE PVC 90° D125 SCOMOR</t>
  </si>
  <si>
    <t>COUDE PVC 90° D 80 SCOMOR</t>
  </si>
  <si>
    <t>OMA COLLIER LARGE A JOINT D80</t>
  </si>
  <si>
    <t>COLLIER A SERAGE D110 A JOINT</t>
  </si>
  <si>
    <t>IMA COLLLIER LARGE  A JOINT D 160</t>
  </si>
  <si>
    <t>IMA COLLLIER LARGE  A JOINT D 125</t>
  </si>
  <si>
    <t>IMA COLLLIER LARGE  A JOINT D 200</t>
  </si>
  <si>
    <t>COLLE PVC USA 500</t>
  </si>
  <si>
    <t>CHEVILLE 8</t>
  </si>
  <si>
    <t>CHAMIL /PALETTE A USAGE COURANTS 2 TN EN SAC 25KG -(M), RENDU</t>
  </si>
  <si>
    <t>TONNE</t>
  </si>
  <si>
    <t>LAFRAGE LOGISTIQUE ALGERIE</t>
  </si>
  <si>
    <t>TRONC CROWN 115 MM 1010W</t>
  </si>
  <si>
    <t>SARL DBM TOOLS</t>
  </si>
  <si>
    <t xml:space="preserve">MARQUER NOIR TECHNO </t>
  </si>
  <si>
    <t>BMS FICHE FEMMELLE</t>
  </si>
  <si>
    <t>BMS FICHE MALE</t>
  </si>
  <si>
    <t>BMS MULTIPRISE INT 4P/5M</t>
  </si>
  <si>
    <t xml:space="preserve">NIVEAU LASER CROWN </t>
  </si>
  <si>
    <t>SCIE 04 LAME</t>
  </si>
  <si>
    <t xml:space="preserve">BURIN SDS 14*250 SL POINTU </t>
  </si>
  <si>
    <t>BURIN SDS 14*250 SL PLAT</t>
  </si>
  <si>
    <t>LAME DE SCIE 01CH</t>
  </si>
  <si>
    <t>CAROTTEUSE ORANGE 250 MM 4880 REDFK250 CAYKEN</t>
  </si>
  <si>
    <t>SARL ASSLY TOOLS</t>
  </si>
  <si>
    <t>COURONNE DE FORAGE DIAM 127*460MM REF YAT8127 HONESTPRO</t>
  </si>
  <si>
    <t>COURONNE DE FORAGE DIAM 160*450MM ZHWEI</t>
  </si>
  <si>
    <t>COURPNNE DE FORAGE DIAM 180MM 450 ZHWEI</t>
  </si>
  <si>
    <t>RADIATEUR ALLUMINUM 4 ELEMENTS H 1800</t>
  </si>
  <si>
    <t>0258/2026</t>
  </si>
  <si>
    <t>HELYOS RADIATEUR EVO 08 ELEMENTS</t>
  </si>
  <si>
    <t>HELYOS RADIATEUR EVO 10 ELEMENTS</t>
  </si>
  <si>
    <t>HELYOS RADIATEUR EVO 12 ELEMENTS</t>
  </si>
  <si>
    <t>SECHE SERVIETTE ALU 1200/45</t>
  </si>
  <si>
    <t>SECHE SERVIETTE ALU 800/45</t>
  </si>
  <si>
    <t>KIT COLLECTEUR 07 VOIES D 1*3/4 26/34 *20*27+DEBITMETRE</t>
  </si>
  <si>
    <t>0223/2026</t>
  </si>
  <si>
    <t>KIT COLLECTEUR 08 VOIES D 1*3/4 26/34 *20*27+DEBITMETRE</t>
  </si>
  <si>
    <t xml:space="preserve">OUT RESSORT MTC 26 EXT </t>
  </si>
  <si>
    <t xml:space="preserve">OUT RESSORT MTC 26 INTER EXTRA LONG </t>
  </si>
  <si>
    <t>PVC REDUIT 110/40 GTIS TK</t>
  </si>
  <si>
    <t>PVC Y REDUIT 110/40/40 GRIS</t>
  </si>
  <si>
    <t>NO PIPE WC EXTANCIBLE 800 MM 7010</t>
  </si>
  <si>
    <t>PRO CONTACTEUR SMART  PRO 1838</t>
  </si>
  <si>
    <t>PVC TUBE 160 GRIS PN6</t>
  </si>
  <si>
    <t>PVC TUBE 200 GRIS PN6</t>
  </si>
  <si>
    <t>PVC Y 80 GRIS TK</t>
  </si>
  <si>
    <t>PVC TEE 110 GRIS</t>
  </si>
  <si>
    <t>PVS REDUCTION 110/80</t>
  </si>
  <si>
    <t>PVS TEE 160 GRIS</t>
  </si>
  <si>
    <t>PVC TEE 200 GRIS</t>
  </si>
  <si>
    <t>PVC REDUCTUION 200/110</t>
  </si>
  <si>
    <t>PVC REDUCTION 160/110</t>
  </si>
  <si>
    <t>PVC MANCHON BOUTEILLE 125/80</t>
  </si>
  <si>
    <t>COLLIER LARGE A JOINT 200</t>
  </si>
  <si>
    <t>COLLIER LARGE A JOINT 160</t>
  </si>
  <si>
    <t>COLLIER LARGE  102/114 DN 110 A JOINT</t>
  </si>
  <si>
    <t>FIL ELECTRIQUE H07V-U 1*1,5 MM^2 BLUE</t>
  </si>
  <si>
    <t>RLX</t>
  </si>
  <si>
    <t>GISB</t>
  </si>
  <si>
    <t>FIL ELECTRIQUE H07V-U 1*1,5 MM^2 ROUGE</t>
  </si>
  <si>
    <t>FIL ELECTRIQUE HO7-u 1*1,5 MM^2 (V/G)</t>
  </si>
  <si>
    <t>FIL ELECTRIQUE HO7-u 1*1,5 MM^2  NOIR</t>
  </si>
  <si>
    <t>GAINE 34/22 100 20 ML</t>
  </si>
  <si>
    <t>SARL H R LUMIERE</t>
  </si>
  <si>
    <t>GAINE SOUPLE Q 10 50M</t>
  </si>
  <si>
    <t>RLX 504,2</t>
  </si>
  <si>
    <t>SIKAWALL 10PRIMER PL 20 KG</t>
  </si>
  <si>
    <t>0251/2026</t>
  </si>
  <si>
    <t xml:space="preserve">SIKA GROUT 212 SCELLMENT SAC 25 KG </t>
  </si>
  <si>
    <t>CHAMIL /PALETTE A USAGE COURANTS 2 TN EN SAC 25KG</t>
  </si>
  <si>
    <t>BALAIS FLUERE CIRTA 28G/BM001</t>
  </si>
  <si>
    <t>BALAIS SOUPLE CIRTA NOIR CIRTA BS01</t>
  </si>
  <si>
    <t>CADNAS TIGE GOLDEN N 94 STER</t>
  </si>
  <si>
    <t>HARBON BETON 08MM</t>
  </si>
  <si>
    <t>MANCHE BALAIS BOIS 1,3M</t>
  </si>
  <si>
    <t>MARQUER NOIR TECHNO</t>
  </si>
  <si>
    <t>PERCHE NIVEAU LASER EMPTOP ETPD12100 D1</t>
  </si>
  <si>
    <t>SACE POUBELLE SONATRACH GM</t>
  </si>
  <si>
    <t xml:space="preserve">SCOTCHE EMBALAGE </t>
  </si>
  <si>
    <t xml:space="preserve">CLEAN PLAIS VAISSEL 05L </t>
  </si>
  <si>
    <t>GRANT BETRO ORANGE</t>
  </si>
  <si>
    <t>GRANT MACON NOIR SUN VASTKYNG 50 GR</t>
  </si>
  <si>
    <t>LAMPE BEETRO LED E27 20W ROND</t>
  </si>
  <si>
    <t>LAMPE BEETRO LED E2 50W CARE</t>
  </si>
  <si>
    <t>METRE ANTO CHOC VEUBER 5M GRIS</t>
  </si>
  <si>
    <t>1 PAPIER A4</t>
  </si>
  <si>
    <t>PAPIER COLLANT PM IPAC 20M</t>
  </si>
  <si>
    <t>TRIFOND 6,3*50 PERFO 100PCS HBO</t>
  </si>
  <si>
    <t>2DOU BOUCHON DESSAI BLEU</t>
  </si>
  <si>
    <t>2DOU BOUCHON DESSAI ROUGE</t>
  </si>
  <si>
    <t>PJ BOUCHON 20/27 MAL</t>
  </si>
  <si>
    <t>PJ BOUCHON 26/34 MAL</t>
  </si>
  <si>
    <t>CLE RADIATER GM</t>
  </si>
  <si>
    <t>BORSAN ROBINET RADIATEUR MTC</t>
  </si>
  <si>
    <t>BORSAN KIT RADIATUER SUPPORT 11 PVS</t>
  </si>
  <si>
    <t>PB BOUCHON 15/21 MAL ADARA</t>
  </si>
  <si>
    <t xml:space="preserve">GAINE 3422 10ML </t>
  </si>
  <si>
    <t>GAINE 3422 100 ML</t>
  </si>
  <si>
    <t>FONDAN 50</t>
  </si>
  <si>
    <t>EURL DISTRIBEX</t>
  </si>
  <si>
    <t>37/2026</t>
  </si>
  <si>
    <t>FONDAN 900</t>
  </si>
  <si>
    <t>M2</t>
  </si>
  <si>
    <t>PLATRE MP75 LESS</t>
  </si>
  <si>
    <t>SARL ESPACE PLACO</t>
  </si>
  <si>
    <t>ARMOIRE ENCASTRE METAL 800</t>
  </si>
  <si>
    <t>UN</t>
  </si>
  <si>
    <t>ARMOIRE ENCASTRE METAL 600</t>
  </si>
  <si>
    <t>ARMOIRE ENCASTRE METAL 500</t>
  </si>
  <si>
    <t>MONTE CHARGE ELECT 1800 KG ORANGE ITALY SANS SUPPORT (CABLE :40M)380V**ALFA</t>
  </si>
  <si>
    <t>02137/2026</t>
  </si>
  <si>
    <t>VISE PARKER PREF 4,2*38(B/300 PCS)**BOUCHNA</t>
  </si>
  <si>
    <t>BIDON MONT CHARGE</t>
  </si>
  <si>
    <t>00049/2026</t>
  </si>
  <si>
    <t>BANDE STOP 200M</t>
  </si>
  <si>
    <t>BON POUR VERTICAL GM DOUBEL</t>
  </si>
  <si>
    <t>MONCHE PELLE ROBISTA NK</t>
  </si>
  <si>
    <t>METRE3M*25MM ANTI CHOC EMTOP</t>
  </si>
  <si>
    <t>PELLE CHANTIER NOIR N295/CRT</t>
  </si>
  <si>
    <t>PISTOLETE SILICONE BEIBER 1CH</t>
  </si>
  <si>
    <t>TENAILLE ORANGE VEIBER 1CH</t>
  </si>
  <si>
    <t>TRONC CROWN 115MM 1010W</t>
  </si>
  <si>
    <t>TRONC CROWN 230MM 2200W</t>
  </si>
  <si>
    <t>TRUELLE 18 BLUE NTB</t>
  </si>
  <si>
    <t>BOND STOP 200M</t>
  </si>
  <si>
    <t>CEINTURE DE SECURITE  BERENT BT9300</t>
  </si>
  <si>
    <t>GANT SCRATCHE BEETRO TC0371</t>
  </si>
  <si>
    <t>MASQUE POUSIERRE A FILTRE ASTER BLUE</t>
  </si>
  <si>
    <t>PAILLE</t>
  </si>
  <si>
    <t>PVC TUBE 500 PN 6 GHARDAIA</t>
  </si>
  <si>
    <t>DJENANE SFARI</t>
  </si>
  <si>
    <t>BETON CLASSE C 25/30 350 KG</t>
  </si>
  <si>
    <t>M3</t>
  </si>
  <si>
    <t>zouaoui smail</t>
  </si>
  <si>
    <t>015/26</t>
  </si>
  <si>
    <t>PLAQYE D6 4/2 15/15</t>
  </si>
  <si>
    <t>SARL SK METAL</t>
  </si>
  <si>
    <t>REBAR 25,00*12000*RD500W</t>
  </si>
  <si>
    <t>SARL LEADER METAL</t>
  </si>
  <si>
    <t>00072/26</t>
  </si>
  <si>
    <t>034/26</t>
  </si>
  <si>
    <t>LAICA ETALONAGE/ MISE A JOUR DE CALIBRATION D APPAREIL TOPORAPHIQUE LEICA TS07</t>
  </si>
  <si>
    <t>TERRAIN MATRICS HUB SARL</t>
  </si>
  <si>
    <t>34/2026</t>
  </si>
  <si>
    <t>036/26</t>
  </si>
  <si>
    <t>037/26</t>
  </si>
  <si>
    <t>BETON CLASSE C25/30 350KG</t>
  </si>
  <si>
    <t>FIL D ACIER 1,10 MM</t>
  </si>
  <si>
    <t>SARL IMAFIL</t>
  </si>
  <si>
    <t>080/26</t>
  </si>
  <si>
    <t>00126/26</t>
  </si>
  <si>
    <t>TARNSPORT</t>
  </si>
  <si>
    <t>058/26</t>
  </si>
  <si>
    <t>REBAR 12,0012000*RD500</t>
  </si>
  <si>
    <t>00148/26</t>
  </si>
  <si>
    <t>REBAR 14,0012000*RD501</t>
  </si>
  <si>
    <t>REBAR 16,0012000*RD502</t>
  </si>
  <si>
    <t>REBAR 25,0012000*RD503</t>
  </si>
  <si>
    <t>TRANSPORT</t>
  </si>
  <si>
    <t>00155/26</t>
  </si>
  <si>
    <t>REBAR 20,00*12000XRD 500W</t>
  </si>
  <si>
    <t>REBAR 12,00*12000XRD 500W</t>
  </si>
  <si>
    <t>BETON CLASSE C25/30 350 KG</t>
  </si>
  <si>
    <t>059/26</t>
  </si>
  <si>
    <t>ROND A BETON 08</t>
  </si>
  <si>
    <t>QX</t>
  </si>
  <si>
    <t>SARL GALAXY METAL</t>
  </si>
  <si>
    <t>ROND A BETON 16</t>
  </si>
  <si>
    <t>ROND A BETON 20</t>
  </si>
  <si>
    <t>00174/26</t>
  </si>
  <si>
    <t>FER ROND A BETON 25</t>
  </si>
  <si>
    <t>ROND A BETON 12 TOYASLI</t>
  </si>
  <si>
    <t>00187/26</t>
  </si>
  <si>
    <t>ROND A BETON 25 TOYASLI</t>
  </si>
  <si>
    <t>FER ROND A BETON DIM 25 TOYASLI</t>
  </si>
  <si>
    <t>00121/26</t>
  </si>
  <si>
    <t>ACCESOIRE PLOMBERIE POUR INSTALLATIO CITERNE D EAU PROJET 435 LOGMNET</t>
  </si>
  <si>
    <t>FORFAIT</t>
  </si>
  <si>
    <t>TALAKHIR NADJIB</t>
  </si>
  <si>
    <t>ROND A BETON 25</t>
  </si>
  <si>
    <t>BETON CLASSE C25/350KG</t>
  </si>
  <si>
    <t>075/26</t>
  </si>
  <si>
    <t>ROND A BETON 12</t>
  </si>
  <si>
    <t>00197/26</t>
  </si>
  <si>
    <t>GEOTEXTILE NON TISSE 150G/PP2,5M*40M</t>
  </si>
  <si>
    <t>SARL OROMAX</t>
  </si>
  <si>
    <t>FIL RECUIT O 0,10 MM</t>
  </si>
  <si>
    <t>144/26</t>
  </si>
  <si>
    <t>SABLE0,3</t>
  </si>
  <si>
    <t>SARL GROUP BKH</t>
  </si>
  <si>
    <t>000069/2026</t>
  </si>
  <si>
    <t>SABLE OUD SOUF</t>
  </si>
  <si>
    <t>SABLE BOUSADAA</t>
  </si>
  <si>
    <t>TRANSPORT PETIT</t>
  </si>
  <si>
    <t>CIMENT COLLE CAPA BLANCO</t>
  </si>
  <si>
    <t>000068/2026</t>
  </si>
  <si>
    <t>MC TUBE 26 SISTA PEX ITALY</t>
  </si>
  <si>
    <t>EURL LB PLOMBRIE</t>
  </si>
  <si>
    <t>00015/2026</t>
  </si>
  <si>
    <t>WATER STOP 30MM*25 M</t>
  </si>
  <si>
    <t>EURL INNOFAR TRADING</t>
  </si>
  <si>
    <t>005151/26</t>
  </si>
  <si>
    <t>CABLE  4*6MM SOUPLE</t>
  </si>
  <si>
    <t>M</t>
  </si>
  <si>
    <t>SARL SONELTECH ELECTRIC</t>
  </si>
  <si>
    <t>PRISE DE FORCE MURALE FEMAL 4*16 TURK</t>
  </si>
  <si>
    <t>PRISE DE FORCE MURALE MALE 4*16 TURK</t>
  </si>
  <si>
    <t>A9K IK60N 4P 40A DISJONCTER MINIATU SCHEIDER</t>
  </si>
  <si>
    <t>LIT SUPERPOSE METALIQUE</t>
  </si>
  <si>
    <t>ETS NAIMI MEUBLES ET EQUIPMENTS</t>
  </si>
  <si>
    <t>24/2026</t>
  </si>
  <si>
    <t>DILUANT CELLULOSIQUE 25L**FIDEA/907</t>
  </si>
  <si>
    <t>BETON CLASS C25/30 350 KG</t>
  </si>
  <si>
    <t>082/26</t>
  </si>
  <si>
    <t>POLYSTERE 200*100*5CM</t>
  </si>
  <si>
    <t>SOGEDIM</t>
  </si>
  <si>
    <t>00639/26</t>
  </si>
  <si>
    <t>POLYSTERE 200*100*10CM</t>
  </si>
  <si>
    <t xml:space="preserve">VIBREUR A BETON ELECTRIQUE PIVOT S FLEXIBLE WEIHAND </t>
  </si>
  <si>
    <t>FLEXIBLE VIBREUR 38MM*6ML DATOOL</t>
  </si>
  <si>
    <t>TIGE DE COUFRAGE 15/17X1000ZNPJ</t>
  </si>
  <si>
    <t>SARL DOULABE BOULONS</t>
  </si>
  <si>
    <t>TOTAL</t>
  </si>
  <si>
    <t>MONTANT HT</t>
  </si>
  <si>
    <t>MONTANT TVA</t>
  </si>
  <si>
    <t>MONTANT TTC</t>
  </si>
  <si>
    <t>581/2026</t>
  </si>
  <si>
    <t>1154/2026</t>
  </si>
  <si>
    <t>77133/2026</t>
  </si>
  <si>
    <t>655/2026</t>
  </si>
  <si>
    <t>164/2026</t>
  </si>
  <si>
    <t>837/2026</t>
  </si>
  <si>
    <t>21/2026</t>
  </si>
  <si>
    <t>122/2026</t>
  </si>
  <si>
    <t>145/2026</t>
  </si>
  <si>
    <t>00175/2025</t>
  </si>
  <si>
    <t>00071/2026</t>
  </si>
  <si>
    <t>00188/2026</t>
  </si>
  <si>
    <t>00009/2026</t>
  </si>
  <si>
    <t>00413/2026</t>
  </si>
  <si>
    <t>00053/2026</t>
  </si>
  <si>
    <t>00094/2026</t>
  </si>
  <si>
    <t>00034/2026</t>
  </si>
  <si>
    <t>01118/2026</t>
  </si>
  <si>
    <t>015/2026</t>
  </si>
  <si>
    <t>00072/2026</t>
  </si>
  <si>
    <t>034/2026</t>
  </si>
  <si>
    <t>036/2026</t>
  </si>
  <si>
    <t>037/2026</t>
  </si>
  <si>
    <t>080/2026</t>
  </si>
  <si>
    <t>00126/2026</t>
  </si>
  <si>
    <t>058/2026</t>
  </si>
  <si>
    <t>00148/2026</t>
  </si>
  <si>
    <t>00155/2026</t>
  </si>
  <si>
    <t>059/2026</t>
  </si>
  <si>
    <t>00174/2026</t>
  </si>
  <si>
    <t>00187/2026</t>
  </si>
  <si>
    <t>00121/2026</t>
  </si>
  <si>
    <t>075/2026</t>
  </si>
  <si>
    <t>00197/2026</t>
  </si>
  <si>
    <t>144/2026</t>
  </si>
  <si>
    <t>005151/2026</t>
  </si>
  <si>
    <t>02245/2026</t>
  </si>
  <si>
    <t>082/2026</t>
  </si>
  <si>
    <t>00639/2026</t>
  </si>
  <si>
    <t>00013/2026</t>
  </si>
  <si>
    <t>00118/2026</t>
  </si>
  <si>
    <t>00771/2026</t>
  </si>
  <si>
    <t>00678/2026</t>
  </si>
  <si>
    <t>NOT EXIST</t>
  </si>
  <si>
    <t>266/2026</t>
  </si>
  <si>
    <t>75602/2026</t>
  </si>
  <si>
    <t>26112026-0501-001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</si>
</sst>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#,##0.00&quot; DA&quot;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164" fontId="0" fillId="0" borderId="0" xfId="0" applyNumberFormat="1"/>
    <xf numFmtId="164" fontId="1" fillId="2" borderId="0" xfId="0" applyNumberFormat="1" applyFont="1" applyFill="1"/>
    <xf numFmtId="0" fontId="1" fillId="2" borderId="0" xfId="0" applyFont="1" applyFill="1"/>
    <xf numFmtId="164" fontId="2" fillId="0" borderId="0" xfId="0" applyNumberFormat="1" applyFont="1"/>
    <xf numFmtId="0" fontId="2" fillId="0" borderId="0" xfId="0" applyFont="1"/>
    <xf numFmtId="4" fontId="2" fillId="0" borderId="0" xfId="0" applyNumberFormat="1" applyFont="1"/>
    <xf numFmtId="165" fontId="2" fillId="0" borderId="0" xfId="0" applyNumberFormat="1" applyFont="1"/>
    <xf numFmtId="0" fontId="0" fillId="2" borderId="0" xfId="0" applyFill="1"/>
    <xf numFmtId="165" fontId="1" fillId="2" borderId="0" xfId="0" applyNumberFormat="1" applyFont="1" applyFill="1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65" fontId="2" fillId="0" borderId="1" xfId="0" applyNumberFormat="1" applyFont="1" applyBorder="1"/>
    <xf numFmtId="0" fontId="2" fillId="0" borderId="3" xfId="0" applyFont="1" applyBorder="1"/>
    <xf numFmtId="0" fontId="2" fillId="0" borderId="2" xfId="0" applyFont="1" applyBorder="1"/>
    <xf numFmtId="0" fontId="0" fillId="0" borderId="0" xfId="0" applyFont="1"/>
    <xf numFmtId="0" fontId="1" fillId="2" borderId="0" xfId="0" applyFont="1" applyFill="1" applyAlignment="1">
      <alignment horizontal="center"/>
    </xf>
    <xf numFmtId="164" fontId="2" fillId="3" borderId="1" xfId="0" applyNumberFormat="1" applyFont="1" applyFill="1" applyBorder="1"/>
    <xf numFmtId="0" fontId="2" fillId="3" borderId="1" xfId="0" applyFont="1" applyFill="1" applyBorder="1"/>
    <xf numFmtId="4" fontId="2" fillId="3" borderId="1" xfId="0" applyNumberFormat="1" applyFont="1" applyFill="1" applyBorder="1"/>
    <xf numFmtId="165" fontId="2" fillId="3" borderId="1" xfId="0" applyNumberFormat="1" applyFont="1" applyFill="1" applyBorder="1"/>
    <xf numFmtId="0" fontId="0" fillId="3" borderId="0" xfId="0" applyFont="1" applyFill="1"/>
    <xf numFmtId="0" fontId="0" fillId="3" borderId="0" xfId="0" applyFill="1"/>
    <xf numFmtId="164" fontId="2" fillId="0" borderId="0" xfId="0" applyNumberFormat="1" applyFont="1" applyFill="1"/>
    <xf numFmtId="0" fontId="2" fillId="0" borderId="0" xfId="0" applyFont="1" applyFill="1"/>
    <xf numFmtId="4" fontId="2" fillId="0" borderId="0" xfId="0" applyNumberFormat="1" applyFont="1" applyFill="1"/>
    <xf numFmtId="165" fontId="2" fillId="0" borderId="0" xfId="0" applyNumberFormat="1" applyFont="1" applyFill="1"/>
    <xf numFmtId="0" fontId="0" fillId="0" borderId="0" xfId="0" applyFill="1"/>
    <xf numFmtId="0" fontId="5" fillId="0" borderId="0" xfId="0" applyFont="1"/>
    <xf numFmtId="0" fontId="4" fillId="3" borderId="0" xfId="0" applyFont="1" applyFill="1"/>
    <xf numFmtId="164" fontId="3" fillId="3" borderId="0" xfId="0" applyNumberFormat="1" applyFont="1" applyFill="1"/>
    <xf numFmtId="0" fontId="3" fillId="3" borderId="0" xfId="0" applyFont="1" applyFill="1"/>
    <xf numFmtId="4" fontId="3" fillId="3" borderId="0" xfId="0" applyNumberFormat="1" applyFont="1" applyFill="1"/>
    <xf numFmtId="165" fontId="3" fillId="3" borderId="0" xfId="0" applyNumberFormat="1" applyFont="1" applyFill="1"/>
    <xf numFmtId="0" fontId="5" fillId="0" borderId="3" xfId="0" applyFont="1" applyBorder="1"/>
    <xf numFmtId="0" fontId="5" fillId="0" borderId="2" xfId="0" applyFont="1" applyBorder="1"/>
    <xf numFmtId="165" fontId="0" fillId="0" borderId="0" xfId="0" applyNumberFormat="1"/>
    <xf numFmtId="164" fontId="2" fillId="4" borderId="1" xfId="0" applyNumberFormat="1" applyFont="1" applyFill="1" applyBorder="1"/>
    <xf numFmtId="0" fontId="2" fillId="4" borderId="1" xfId="0" applyFont="1" applyFill="1" applyBorder="1"/>
    <xf numFmtId="4" fontId="2" fillId="4" borderId="1" xfId="0" applyNumberFormat="1" applyFont="1" applyFill="1" applyBorder="1"/>
    <xf numFmtId="165" fontId="2" fillId="4" borderId="1" xfId="0" applyNumberFormat="1" applyFont="1" applyFill="1" applyBorder="1"/>
    <xf numFmtId="0" fontId="0" fillId="4" borderId="0" xfId="0" applyFill="1"/>
    <xf numFmtId="164" fontId="2" fillId="0" borderId="1" xfId="0" applyNumberFormat="1" applyFont="1" applyFill="1" applyBorder="1"/>
    <xf numFmtId="0" fontId="2" fillId="0" borderId="1" xfId="0" applyFont="1" applyFill="1" applyBorder="1"/>
    <xf numFmtId="4" fontId="2" fillId="0" borderId="1" xfId="0" applyNumberFormat="1" applyFont="1" applyFill="1" applyBorder="1"/>
    <xf numFmtId="165" fontId="2" fillId="0" borderId="1" xfId="0" applyNumberFormat="1" applyFont="1" applyFill="1" applyBorder="1"/>
    <xf numFmtId="0" fontId="5" fillId="0" borderId="3" xfId="0" applyFont="1" applyFill="1" applyBorder="1"/>
    <xf numFmtId="0" fontId="5" fillId="0" borderId="0" xfId="0" applyFont="1" applyFill="1"/>
    <xf numFmtId="164" fontId="5" fillId="0" borderId="0" xfId="0" applyNumberFormat="1" applyFont="1" applyFill="1"/>
    <xf numFmtId="4" fontId="5" fillId="0" borderId="0" xfId="0" applyNumberFormat="1" applyFont="1" applyFill="1"/>
    <xf numFmtId="165" fontId="5" fillId="0" borderId="0" xfId="0" applyNumberFormat="1" applyFont="1" applyFill="1"/>
    <xf numFmtId="0" fontId="4" fillId="0" borderId="0" xfId="0" applyFont="1" applyFill="1"/>
    <xf numFmtId="164" fontId="2" fillId="5" borderId="0" xfId="0" applyNumberFormat="1" applyFont="1" applyFill="1"/>
    <xf numFmtId="0" fontId="2" fillId="5" borderId="0" xfId="0" applyFont="1" applyFill="1"/>
    <xf numFmtId="4" fontId="2" fillId="5" borderId="0" xfId="0" applyNumberFormat="1" applyFont="1" applyFill="1"/>
    <xf numFmtId="165" fontId="2" fillId="5" borderId="0" xfId="0" applyNumberFormat="1" applyFont="1" applyFill="1"/>
    <xf numFmtId="0" fontId="0" fillId="5" borderId="0" xfId="0" applyFill="1"/>
    <xf numFmtId="164" fontId="6" fillId="0" borderId="1" xfId="0" applyNumberFormat="1" applyFont="1" applyFill="1" applyBorder="1"/>
    <xf numFmtId="0" fontId="6" fillId="0" borderId="1" xfId="0" applyFont="1" applyFill="1" applyBorder="1"/>
    <xf numFmtId="4" fontId="6" fillId="0" borderId="1" xfId="0" applyNumberFormat="1" applyFont="1" applyFill="1" applyBorder="1"/>
    <xf numFmtId="165" fontId="6" fillId="0" borderId="1" xfId="0" applyNumberFormat="1" applyFont="1" applyFill="1" applyBorder="1"/>
    <xf numFmtId="0" fontId="0" fillId="0" borderId="0" xfId="0" applyFont="1" applyFill="1"/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9"/>
  <sheetViews>
    <sheetView zoomScaleNormal="100" workbookViewId="0">
      <pane ySplit="1" topLeftCell="A107" activePane="bottomLeft" state="frozen"/>
      <selection pane="bottomLeft" activeCell="E135" sqref="E135"/>
    </sheetView>
  </sheetViews>
  <sheetFormatPr defaultColWidth="8.7109375" defaultRowHeight="15" x14ac:dyDescent="0.25"/>
  <cols>
    <col min="1" max="1" width="20.85546875" style="1" customWidth="1"/>
    <col min="2" max="2" width="23.85546875" customWidth="1"/>
    <col min="3" max="3" width="12" customWidth="1"/>
    <col min="4" max="4" width="11.42578125" customWidth="1"/>
    <col min="5" max="5" width="17.5703125" customWidth="1"/>
    <col min="6" max="6" width="16.85546875" customWidth="1"/>
    <col min="7" max="7" width="42.42578125" customWidth="1"/>
    <col min="8" max="8" width="19.140625" customWidth="1"/>
    <col min="9" max="9" width="22.42578125" customWidth="1"/>
    <col min="10" max="10" width="20.140625" customWidth="1"/>
    <col min="11" max="12" width="13" customWidth="1"/>
  </cols>
  <sheetData>
    <row r="1" spans="1:12" ht="38.2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>
        <v>45668</v>
      </c>
      <c r="B2" s="5" t="s">
        <v>12</v>
      </c>
      <c r="C2" s="6">
        <v>1</v>
      </c>
      <c r="D2" s="5" t="s">
        <v>13</v>
      </c>
      <c r="E2" s="5">
        <v>3100</v>
      </c>
      <c r="F2" s="7">
        <f t="shared" ref="F2:F65" si="0">C2*E2</f>
        <v>3100</v>
      </c>
      <c r="G2" s="7">
        <f t="shared" ref="G2:G65" si="1">F2*0.19</f>
        <v>589</v>
      </c>
      <c r="H2" s="7">
        <f t="shared" ref="H2:H65" si="2">F2+G2</f>
        <v>3689</v>
      </c>
      <c r="I2" s="5" t="s">
        <v>14</v>
      </c>
      <c r="J2" s="5" t="s">
        <v>15</v>
      </c>
      <c r="K2" s="5" t="s">
        <v>16</v>
      </c>
      <c r="L2" s="5">
        <v>4065491</v>
      </c>
    </row>
    <row r="3" spans="1:12" x14ac:dyDescent="0.25">
      <c r="A3" s="4">
        <v>45668</v>
      </c>
      <c r="B3" s="5" t="s">
        <v>17</v>
      </c>
      <c r="C3" s="6">
        <v>3</v>
      </c>
      <c r="D3" s="5" t="s">
        <v>13</v>
      </c>
      <c r="E3" s="5">
        <v>2900</v>
      </c>
      <c r="F3" s="7">
        <f t="shared" si="0"/>
        <v>8700</v>
      </c>
      <c r="G3" s="7">
        <f t="shared" si="1"/>
        <v>1653</v>
      </c>
      <c r="H3" s="7">
        <f t="shared" si="2"/>
        <v>10353</v>
      </c>
      <c r="I3" s="5" t="s">
        <v>14</v>
      </c>
      <c r="J3" s="5" t="s">
        <v>15</v>
      </c>
      <c r="K3" s="5" t="s">
        <v>16</v>
      </c>
      <c r="L3" s="5">
        <v>4065491</v>
      </c>
    </row>
    <row r="4" spans="1:12" x14ac:dyDescent="0.25">
      <c r="A4" s="4">
        <v>45668</v>
      </c>
      <c r="B4" s="5" t="s">
        <v>18</v>
      </c>
      <c r="C4" s="6">
        <v>5</v>
      </c>
      <c r="D4" s="5" t="s">
        <v>13</v>
      </c>
      <c r="E4" s="5">
        <v>2300</v>
      </c>
      <c r="F4" s="7">
        <f t="shared" si="0"/>
        <v>11500</v>
      </c>
      <c r="G4" s="7">
        <f t="shared" si="1"/>
        <v>2185</v>
      </c>
      <c r="H4" s="7">
        <f t="shared" si="2"/>
        <v>13685</v>
      </c>
      <c r="I4" s="5" t="s">
        <v>14</v>
      </c>
      <c r="J4" s="5" t="s">
        <v>15</v>
      </c>
      <c r="K4" s="5" t="s">
        <v>16</v>
      </c>
      <c r="L4" s="5">
        <v>4065491</v>
      </c>
    </row>
    <row r="5" spans="1:12" x14ac:dyDescent="0.25">
      <c r="A5" s="4">
        <v>45668</v>
      </c>
      <c r="B5" s="5" t="s">
        <v>19</v>
      </c>
      <c r="C5" s="6">
        <v>1</v>
      </c>
      <c r="D5" s="5" t="s">
        <v>13</v>
      </c>
      <c r="E5" s="5">
        <v>3800</v>
      </c>
      <c r="F5" s="7">
        <f t="shared" si="0"/>
        <v>3800</v>
      </c>
      <c r="G5" s="7">
        <f t="shared" si="1"/>
        <v>722</v>
      </c>
      <c r="H5" s="7">
        <f t="shared" si="2"/>
        <v>4522</v>
      </c>
      <c r="I5" s="5" t="s">
        <v>14</v>
      </c>
      <c r="J5" s="5" t="s">
        <v>15</v>
      </c>
      <c r="K5" s="5" t="s">
        <v>16</v>
      </c>
      <c r="L5" s="5">
        <v>4065491</v>
      </c>
    </row>
    <row r="6" spans="1:12" x14ac:dyDescent="0.25">
      <c r="A6" s="4">
        <v>45668</v>
      </c>
      <c r="B6" s="5" t="s">
        <v>20</v>
      </c>
      <c r="C6" s="6">
        <v>12</v>
      </c>
      <c r="D6" s="5" t="s">
        <v>13</v>
      </c>
      <c r="E6" s="5">
        <v>750</v>
      </c>
      <c r="F6" s="7">
        <f t="shared" si="0"/>
        <v>9000</v>
      </c>
      <c r="G6" s="7">
        <f t="shared" si="1"/>
        <v>1710</v>
      </c>
      <c r="H6" s="7">
        <f t="shared" si="2"/>
        <v>10710</v>
      </c>
      <c r="I6" s="5" t="s">
        <v>14</v>
      </c>
      <c r="J6" s="5" t="s">
        <v>15</v>
      </c>
      <c r="K6" s="5" t="s">
        <v>16</v>
      </c>
      <c r="L6" s="5">
        <v>4065491</v>
      </c>
    </row>
    <row r="7" spans="1:12" x14ac:dyDescent="0.25">
      <c r="A7" s="4">
        <v>45668</v>
      </c>
      <c r="B7" s="5" t="s">
        <v>21</v>
      </c>
      <c r="C7" s="6">
        <v>13</v>
      </c>
      <c r="D7" s="5" t="s">
        <v>13</v>
      </c>
      <c r="E7" s="5">
        <v>3100</v>
      </c>
      <c r="F7" s="7">
        <f t="shared" si="0"/>
        <v>40300</v>
      </c>
      <c r="G7" s="7">
        <f t="shared" si="1"/>
        <v>7657</v>
      </c>
      <c r="H7" s="7">
        <f t="shared" si="2"/>
        <v>47957</v>
      </c>
      <c r="I7" s="5" t="s">
        <v>14</v>
      </c>
      <c r="J7" s="5" t="s">
        <v>15</v>
      </c>
      <c r="K7" s="5" t="s">
        <v>16</v>
      </c>
      <c r="L7" s="5">
        <v>4065491</v>
      </c>
    </row>
    <row r="8" spans="1:12" s="31" customFormat="1" x14ac:dyDescent="0.25">
      <c r="A8" s="27">
        <v>45668</v>
      </c>
      <c r="B8" s="28" t="s">
        <v>22</v>
      </c>
      <c r="C8" s="29">
        <v>50</v>
      </c>
      <c r="D8" s="28" t="s">
        <v>13</v>
      </c>
      <c r="E8" s="28">
        <v>23361.35</v>
      </c>
      <c r="F8" s="30">
        <f t="shared" si="0"/>
        <v>1168067.5</v>
      </c>
      <c r="G8" s="30">
        <f t="shared" si="1"/>
        <v>221932.82500000001</v>
      </c>
      <c r="H8" s="30">
        <f t="shared" si="2"/>
        <v>1390000.325</v>
      </c>
      <c r="I8" s="28" t="s">
        <v>23</v>
      </c>
      <c r="J8" s="28" t="s">
        <v>15</v>
      </c>
      <c r="K8" s="51" t="s">
        <v>427</v>
      </c>
      <c r="L8" s="28">
        <v>4065460</v>
      </c>
    </row>
    <row r="9" spans="1:12" x14ac:dyDescent="0.25">
      <c r="A9" s="4">
        <v>45929</v>
      </c>
      <c r="B9" s="5" t="s">
        <v>24</v>
      </c>
      <c r="C9" s="6">
        <v>24</v>
      </c>
      <c r="D9" s="5" t="s">
        <v>13</v>
      </c>
      <c r="E9" s="5">
        <v>115</v>
      </c>
      <c r="F9" s="7">
        <f t="shared" si="0"/>
        <v>2760</v>
      </c>
      <c r="G9" s="7">
        <f t="shared" si="1"/>
        <v>524.4</v>
      </c>
      <c r="H9" s="7">
        <f t="shared" si="2"/>
        <v>3284.4</v>
      </c>
      <c r="I9" s="5" t="s">
        <v>25</v>
      </c>
      <c r="J9" s="5" t="s">
        <v>15</v>
      </c>
      <c r="K9" s="5" t="s">
        <v>390</v>
      </c>
      <c r="L9" s="5">
        <v>4065495</v>
      </c>
    </row>
    <row r="10" spans="1:12" x14ac:dyDescent="0.25">
      <c r="A10" s="4">
        <v>45929</v>
      </c>
      <c r="B10" s="5" t="s">
        <v>26</v>
      </c>
      <c r="C10" s="6">
        <v>20</v>
      </c>
      <c r="D10" s="5" t="s">
        <v>13</v>
      </c>
      <c r="E10" s="5">
        <v>68</v>
      </c>
      <c r="F10" s="7">
        <f t="shared" si="0"/>
        <v>1360</v>
      </c>
      <c r="G10" s="7">
        <f t="shared" si="1"/>
        <v>258.39999999999998</v>
      </c>
      <c r="H10" s="7">
        <f t="shared" si="2"/>
        <v>1618.4</v>
      </c>
      <c r="I10" s="5" t="s">
        <v>25</v>
      </c>
      <c r="J10" s="5" t="s">
        <v>15</v>
      </c>
      <c r="K10" s="5" t="s">
        <v>390</v>
      </c>
      <c r="L10" s="5">
        <v>4065495</v>
      </c>
    </row>
    <row r="11" spans="1:12" x14ac:dyDescent="0.25">
      <c r="A11" s="4">
        <v>45929</v>
      </c>
      <c r="B11" s="5" t="s">
        <v>27</v>
      </c>
      <c r="C11" s="6">
        <v>20</v>
      </c>
      <c r="D11" s="5" t="s">
        <v>13</v>
      </c>
      <c r="E11" s="5">
        <v>127</v>
      </c>
      <c r="F11" s="7">
        <f t="shared" si="0"/>
        <v>2540</v>
      </c>
      <c r="G11" s="7">
        <f t="shared" si="1"/>
        <v>482.6</v>
      </c>
      <c r="H11" s="7">
        <f t="shared" si="2"/>
        <v>3022.6</v>
      </c>
      <c r="I11" s="5" t="s">
        <v>25</v>
      </c>
      <c r="J11" s="5" t="s">
        <v>15</v>
      </c>
      <c r="K11" s="5" t="s">
        <v>390</v>
      </c>
      <c r="L11" s="5">
        <v>4065495</v>
      </c>
    </row>
    <row r="12" spans="1:12" x14ac:dyDescent="0.25">
      <c r="A12" s="4">
        <v>45929</v>
      </c>
      <c r="B12" s="5" t="s">
        <v>28</v>
      </c>
      <c r="C12" s="6">
        <v>12</v>
      </c>
      <c r="D12" s="5" t="s">
        <v>13</v>
      </c>
      <c r="E12" s="5">
        <v>345</v>
      </c>
      <c r="F12" s="7">
        <f t="shared" si="0"/>
        <v>4140</v>
      </c>
      <c r="G12" s="7">
        <f t="shared" si="1"/>
        <v>786.6</v>
      </c>
      <c r="H12" s="7">
        <f t="shared" si="2"/>
        <v>4926.6000000000004</v>
      </c>
      <c r="I12" s="5" t="s">
        <v>25</v>
      </c>
      <c r="J12" s="5" t="s">
        <v>15</v>
      </c>
      <c r="K12" s="5" t="s">
        <v>390</v>
      </c>
      <c r="L12" s="5">
        <v>4065495</v>
      </c>
    </row>
    <row r="13" spans="1:12" x14ac:dyDescent="0.25">
      <c r="A13" s="4">
        <v>45929</v>
      </c>
      <c r="B13" s="5" t="s">
        <v>29</v>
      </c>
      <c r="C13" s="6">
        <v>1</v>
      </c>
      <c r="D13" s="5" t="s">
        <v>13</v>
      </c>
      <c r="E13" s="5">
        <v>343</v>
      </c>
      <c r="F13" s="7">
        <f t="shared" si="0"/>
        <v>343</v>
      </c>
      <c r="G13" s="7">
        <f t="shared" si="1"/>
        <v>65.17</v>
      </c>
      <c r="H13" s="7">
        <f t="shared" si="2"/>
        <v>408.17</v>
      </c>
      <c r="I13" s="5" t="s">
        <v>25</v>
      </c>
      <c r="J13" s="5" t="s">
        <v>15</v>
      </c>
      <c r="K13" s="5" t="s">
        <v>390</v>
      </c>
      <c r="L13" s="5">
        <v>4065495</v>
      </c>
    </row>
    <row r="14" spans="1:12" x14ac:dyDescent="0.25">
      <c r="A14" s="4">
        <v>45929</v>
      </c>
      <c r="B14" s="5" t="s">
        <v>30</v>
      </c>
      <c r="C14" s="6">
        <v>12</v>
      </c>
      <c r="D14" s="5" t="s">
        <v>13</v>
      </c>
      <c r="E14" s="5">
        <v>380</v>
      </c>
      <c r="F14" s="7">
        <f t="shared" si="0"/>
        <v>4560</v>
      </c>
      <c r="G14" s="7">
        <f t="shared" si="1"/>
        <v>866.4</v>
      </c>
      <c r="H14" s="7">
        <f t="shared" si="2"/>
        <v>5426.4</v>
      </c>
      <c r="I14" s="5" t="s">
        <v>25</v>
      </c>
      <c r="J14" s="5" t="s">
        <v>15</v>
      </c>
      <c r="K14" s="5" t="s">
        <v>390</v>
      </c>
      <c r="L14" s="5">
        <v>4065495</v>
      </c>
    </row>
    <row r="15" spans="1:12" x14ac:dyDescent="0.25">
      <c r="A15" s="4">
        <v>45929</v>
      </c>
      <c r="B15" s="5" t="s">
        <v>31</v>
      </c>
      <c r="C15" s="6">
        <v>10</v>
      </c>
      <c r="D15" s="5" t="s">
        <v>13</v>
      </c>
      <c r="E15" s="5">
        <v>770</v>
      </c>
      <c r="F15" s="7">
        <f t="shared" si="0"/>
        <v>7700</v>
      </c>
      <c r="G15" s="7">
        <f t="shared" si="1"/>
        <v>1463</v>
      </c>
      <c r="H15" s="7">
        <f t="shared" si="2"/>
        <v>9163</v>
      </c>
      <c r="I15" s="5" t="s">
        <v>25</v>
      </c>
      <c r="J15" s="5" t="s">
        <v>15</v>
      </c>
      <c r="K15" s="5" t="s">
        <v>390</v>
      </c>
      <c r="L15" s="5">
        <v>4065495</v>
      </c>
    </row>
    <row r="16" spans="1:12" x14ac:dyDescent="0.25">
      <c r="A16" s="4">
        <v>45929</v>
      </c>
      <c r="B16" s="5" t="s">
        <v>32</v>
      </c>
      <c r="C16" s="6">
        <v>10</v>
      </c>
      <c r="D16" s="5" t="s">
        <v>13</v>
      </c>
      <c r="E16" s="5">
        <v>155</v>
      </c>
      <c r="F16" s="7">
        <f t="shared" si="0"/>
        <v>1550</v>
      </c>
      <c r="G16" s="7">
        <f t="shared" si="1"/>
        <v>294.5</v>
      </c>
      <c r="H16" s="7">
        <f t="shared" si="2"/>
        <v>1844.5</v>
      </c>
      <c r="I16" s="5" t="s">
        <v>25</v>
      </c>
      <c r="J16" s="5" t="s">
        <v>15</v>
      </c>
      <c r="K16" s="5" t="s">
        <v>390</v>
      </c>
      <c r="L16" s="5">
        <v>4065495</v>
      </c>
    </row>
    <row r="17" spans="1:12" x14ac:dyDescent="0.25">
      <c r="A17" s="4">
        <v>45929</v>
      </c>
      <c r="B17" s="5" t="s">
        <v>33</v>
      </c>
      <c r="C17" s="6">
        <v>10</v>
      </c>
      <c r="D17" s="5" t="s">
        <v>13</v>
      </c>
      <c r="E17" s="5">
        <v>155</v>
      </c>
      <c r="F17" s="7">
        <f t="shared" si="0"/>
        <v>1550</v>
      </c>
      <c r="G17" s="7">
        <f t="shared" si="1"/>
        <v>294.5</v>
      </c>
      <c r="H17" s="7">
        <f t="shared" si="2"/>
        <v>1844.5</v>
      </c>
      <c r="I17" s="5" t="s">
        <v>25</v>
      </c>
      <c r="J17" s="5" t="s">
        <v>15</v>
      </c>
      <c r="K17" s="5" t="s">
        <v>390</v>
      </c>
      <c r="L17" s="5">
        <v>4065495</v>
      </c>
    </row>
    <row r="18" spans="1:12" x14ac:dyDescent="0.25">
      <c r="A18" s="4">
        <v>45929</v>
      </c>
      <c r="B18" s="5" t="s">
        <v>34</v>
      </c>
      <c r="C18" s="6">
        <v>10</v>
      </c>
      <c r="D18" s="5" t="s">
        <v>13</v>
      </c>
      <c r="E18" s="5">
        <v>26500</v>
      </c>
      <c r="F18" s="7">
        <f t="shared" si="0"/>
        <v>265000</v>
      </c>
      <c r="G18" s="7">
        <f t="shared" si="1"/>
        <v>50350</v>
      </c>
      <c r="H18" s="7">
        <f t="shared" si="2"/>
        <v>315350</v>
      </c>
      <c r="I18" s="5" t="s">
        <v>25</v>
      </c>
      <c r="J18" s="5" t="s">
        <v>15</v>
      </c>
      <c r="K18" s="5" t="s">
        <v>390</v>
      </c>
      <c r="L18" s="5">
        <v>4065495</v>
      </c>
    </row>
    <row r="19" spans="1:12" x14ac:dyDescent="0.25">
      <c r="A19" s="4">
        <v>45929</v>
      </c>
      <c r="B19" s="5" t="s">
        <v>35</v>
      </c>
      <c r="C19" s="6">
        <v>10</v>
      </c>
      <c r="D19" s="5" t="s">
        <v>13</v>
      </c>
      <c r="E19" s="5">
        <v>295</v>
      </c>
      <c r="F19" s="7">
        <f t="shared" si="0"/>
        <v>2950</v>
      </c>
      <c r="G19" s="7">
        <f t="shared" si="1"/>
        <v>560.5</v>
      </c>
      <c r="H19" s="7">
        <f t="shared" si="2"/>
        <v>3510.5</v>
      </c>
      <c r="I19" s="5" t="s">
        <v>25</v>
      </c>
      <c r="J19" s="5" t="s">
        <v>15</v>
      </c>
      <c r="K19" s="5" t="s">
        <v>390</v>
      </c>
      <c r="L19" s="5">
        <v>4065495</v>
      </c>
    </row>
    <row r="20" spans="1:12" x14ac:dyDescent="0.25">
      <c r="A20" s="4">
        <v>45929</v>
      </c>
      <c r="B20" s="5" t="s">
        <v>36</v>
      </c>
      <c r="C20" s="6">
        <v>8</v>
      </c>
      <c r="D20" s="5" t="s">
        <v>13</v>
      </c>
      <c r="E20" s="5">
        <v>127.4</v>
      </c>
      <c r="F20" s="7">
        <f t="shared" si="0"/>
        <v>1019.2</v>
      </c>
      <c r="G20" s="7">
        <f t="shared" si="1"/>
        <v>193.64800000000002</v>
      </c>
      <c r="H20" s="7">
        <f t="shared" si="2"/>
        <v>1212.848</v>
      </c>
      <c r="I20" s="5" t="s">
        <v>25</v>
      </c>
      <c r="J20" s="5" t="s">
        <v>15</v>
      </c>
      <c r="K20" s="5" t="s">
        <v>390</v>
      </c>
      <c r="L20" s="5">
        <v>4065495</v>
      </c>
    </row>
    <row r="21" spans="1:12" x14ac:dyDescent="0.25">
      <c r="A21" s="4">
        <v>45929</v>
      </c>
      <c r="B21" s="5" t="s">
        <v>37</v>
      </c>
      <c r="C21" s="6">
        <v>5</v>
      </c>
      <c r="D21" s="5" t="s">
        <v>13</v>
      </c>
      <c r="E21" s="5">
        <v>120</v>
      </c>
      <c r="F21" s="7">
        <f t="shared" si="0"/>
        <v>600</v>
      </c>
      <c r="G21" s="7">
        <f t="shared" si="1"/>
        <v>114</v>
      </c>
      <c r="H21" s="7">
        <f t="shared" si="2"/>
        <v>714</v>
      </c>
      <c r="I21" s="5" t="s">
        <v>25</v>
      </c>
      <c r="J21" s="5" t="s">
        <v>15</v>
      </c>
      <c r="K21" s="5" t="s">
        <v>390</v>
      </c>
      <c r="L21" s="5">
        <v>4065495</v>
      </c>
    </row>
    <row r="22" spans="1:12" x14ac:dyDescent="0.25">
      <c r="A22" s="4">
        <v>45929</v>
      </c>
      <c r="B22" s="5" t="s">
        <v>38</v>
      </c>
      <c r="C22" s="6">
        <v>50</v>
      </c>
      <c r="D22" s="5" t="s">
        <v>13</v>
      </c>
      <c r="E22" s="5">
        <v>30</v>
      </c>
      <c r="F22" s="7">
        <f t="shared" si="0"/>
        <v>1500</v>
      </c>
      <c r="G22" s="7">
        <f t="shared" si="1"/>
        <v>285</v>
      </c>
      <c r="H22" s="7">
        <f t="shared" si="2"/>
        <v>1785</v>
      </c>
      <c r="I22" s="5" t="s">
        <v>25</v>
      </c>
      <c r="J22" s="5" t="s">
        <v>15</v>
      </c>
      <c r="K22" s="5" t="s">
        <v>390</v>
      </c>
      <c r="L22" s="5">
        <v>4065495</v>
      </c>
    </row>
    <row r="23" spans="1:12" x14ac:dyDescent="0.25">
      <c r="A23" s="4">
        <v>45929</v>
      </c>
      <c r="B23" s="5" t="s">
        <v>39</v>
      </c>
      <c r="C23" s="6">
        <v>5</v>
      </c>
      <c r="D23" s="5" t="s">
        <v>13</v>
      </c>
      <c r="E23" s="5">
        <v>168</v>
      </c>
      <c r="F23" s="7">
        <f t="shared" si="0"/>
        <v>840</v>
      </c>
      <c r="G23" s="7">
        <f t="shared" si="1"/>
        <v>159.6</v>
      </c>
      <c r="H23" s="7">
        <f t="shared" si="2"/>
        <v>999.6</v>
      </c>
      <c r="I23" s="5" t="s">
        <v>25</v>
      </c>
      <c r="J23" s="5" t="s">
        <v>15</v>
      </c>
      <c r="K23" s="5" t="s">
        <v>390</v>
      </c>
      <c r="L23" s="5">
        <v>4065495</v>
      </c>
    </row>
    <row r="24" spans="1:12" x14ac:dyDescent="0.25">
      <c r="A24" s="4">
        <v>45929</v>
      </c>
      <c r="B24" s="5" t="s">
        <v>40</v>
      </c>
      <c r="C24" s="6">
        <v>5</v>
      </c>
      <c r="D24" s="5" t="s">
        <v>13</v>
      </c>
      <c r="E24" s="5">
        <v>204</v>
      </c>
      <c r="F24" s="7">
        <f t="shared" si="0"/>
        <v>1020</v>
      </c>
      <c r="G24" s="7">
        <f t="shared" si="1"/>
        <v>193.8</v>
      </c>
      <c r="H24" s="7">
        <f t="shared" si="2"/>
        <v>1213.8</v>
      </c>
      <c r="I24" s="5" t="s">
        <v>25</v>
      </c>
      <c r="J24" s="5" t="s">
        <v>15</v>
      </c>
      <c r="K24" s="5" t="s">
        <v>390</v>
      </c>
      <c r="L24" s="5">
        <v>4065495</v>
      </c>
    </row>
    <row r="25" spans="1:12" x14ac:dyDescent="0.25">
      <c r="A25" s="4">
        <v>45929</v>
      </c>
      <c r="B25" s="5" t="s">
        <v>41</v>
      </c>
      <c r="C25" s="6">
        <v>5</v>
      </c>
      <c r="D25" s="5" t="s">
        <v>13</v>
      </c>
      <c r="E25" s="5">
        <v>225</v>
      </c>
      <c r="F25" s="7">
        <f t="shared" si="0"/>
        <v>1125</v>
      </c>
      <c r="G25" s="7">
        <f t="shared" si="1"/>
        <v>213.75</v>
      </c>
      <c r="H25" s="7">
        <f t="shared" si="2"/>
        <v>1338.75</v>
      </c>
      <c r="I25" s="5" t="s">
        <v>25</v>
      </c>
      <c r="J25" s="5" t="s">
        <v>15</v>
      </c>
      <c r="K25" s="5" t="s">
        <v>390</v>
      </c>
      <c r="L25" s="5">
        <v>4065495</v>
      </c>
    </row>
    <row r="26" spans="1:12" x14ac:dyDescent="0.25">
      <c r="A26" s="4">
        <v>45929</v>
      </c>
      <c r="B26" s="5" t="s">
        <v>42</v>
      </c>
      <c r="C26" s="6">
        <v>1</v>
      </c>
      <c r="D26" s="5" t="s">
        <v>13</v>
      </c>
      <c r="E26" s="5">
        <v>4850</v>
      </c>
      <c r="F26" s="7">
        <f t="shared" si="0"/>
        <v>4850</v>
      </c>
      <c r="G26" s="7">
        <f t="shared" si="1"/>
        <v>921.5</v>
      </c>
      <c r="H26" s="7">
        <f t="shared" si="2"/>
        <v>5771.5</v>
      </c>
      <c r="I26" s="5" t="s">
        <v>25</v>
      </c>
      <c r="J26" s="5" t="s">
        <v>15</v>
      </c>
      <c r="K26" s="5" t="s">
        <v>390</v>
      </c>
      <c r="L26" s="5">
        <v>4065495</v>
      </c>
    </row>
    <row r="27" spans="1:12" x14ac:dyDescent="0.25">
      <c r="A27" s="4">
        <v>45929</v>
      </c>
      <c r="B27" s="5" t="s">
        <v>43</v>
      </c>
      <c r="C27" s="6">
        <v>12</v>
      </c>
      <c r="D27" s="5" t="s">
        <v>13</v>
      </c>
      <c r="E27" s="5">
        <v>228</v>
      </c>
      <c r="F27" s="7">
        <f t="shared" si="0"/>
        <v>2736</v>
      </c>
      <c r="G27" s="7">
        <f t="shared" si="1"/>
        <v>519.84</v>
      </c>
      <c r="H27" s="7">
        <f t="shared" si="2"/>
        <v>3255.84</v>
      </c>
      <c r="I27" s="5" t="s">
        <v>25</v>
      </c>
      <c r="J27" s="5" t="s">
        <v>15</v>
      </c>
      <c r="K27" s="5" t="s">
        <v>390</v>
      </c>
      <c r="L27" s="5">
        <v>4065495</v>
      </c>
    </row>
    <row r="28" spans="1:12" x14ac:dyDescent="0.25">
      <c r="A28" s="4">
        <v>45929</v>
      </c>
      <c r="B28" s="5" t="s">
        <v>44</v>
      </c>
      <c r="C28" s="6">
        <v>2</v>
      </c>
      <c r="D28" s="5" t="s">
        <v>13</v>
      </c>
      <c r="E28" s="5">
        <v>254.36</v>
      </c>
      <c r="F28" s="7">
        <f t="shared" si="0"/>
        <v>508.72</v>
      </c>
      <c r="G28" s="7">
        <f t="shared" si="1"/>
        <v>96.656800000000004</v>
      </c>
      <c r="H28" s="7">
        <f t="shared" si="2"/>
        <v>605.3768</v>
      </c>
      <c r="I28" s="5" t="s">
        <v>25</v>
      </c>
      <c r="J28" s="5" t="s">
        <v>15</v>
      </c>
      <c r="K28" s="5" t="s">
        <v>390</v>
      </c>
      <c r="L28" s="5">
        <v>4065495</v>
      </c>
    </row>
    <row r="29" spans="1:12" x14ac:dyDescent="0.25">
      <c r="A29" s="4">
        <v>45929</v>
      </c>
      <c r="B29" s="5" t="s">
        <v>45</v>
      </c>
      <c r="C29" s="6">
        <v>10</v>
      </c>
      <c r="D29" s="5" t="s">
        <v>13</v>
      </c>
      <c r="E29" s="5">
        <v>129.72999999999999</v>
      </c>
      <c r="F29" s="7">
        <f t="shared" si="0"/>
        <v>1297.3</v>
      </c>
      <c r="G29" s="7">
        <f t="shared" si="1"/>
        <v>246.48699999999999</v>
      </c>
      <c r="H29" s="7">
        <f t="shared" si="2"/>
        <v>1543.787</v>
      </c>
      <c r="I29" s="5" t="s">
        <v>25</v>
      </c>
      <c r="J29" s="5" t="s">
        <v>15</v>
      </c>
      <c r="K29" s="5" t="s">
        <v>390</v>
      </c>
      <c r="L29" s="5">
        <v>4065495</v>
      </c>
    </row>
    <row r="30" spans="1:12" x14ac:dyDescent="0.25">
      <c r="A30" s="4">
        <v>45929</v>
      </c>
      <c r="B30" s="5" t="s">
        <v>46</v>
      </c>
      <c r="C30" s="6">
        <v>2</v>
      </c>
      <c r="D30" s="5" t="s">
        <v>13</v>
      </c>
      <c r="E30" s="5">
        <v>468</v>
      </c>
      <c r="F30" s="7">
        <f t="shared" si="0"/>
        <v>936</v>
      </c>
      <c r="G30" s="7">
        <f t="shared" si="1"/>
        <v>177.84</v>
      </c>
      <c r="H30" s="7">
        <f t="shared" si="2"/>
        <v>1113.8399999999999</v>
      </c>
      <c r="I30" s="5" t="s">
        <v>25</v>
      </c>
      <c r="J30" s="5" t="s">
        <v>15</v>
      </c>
      <c r="K30" s="5" t="s">
        <v>390</v>
      </c>
      <c r="L30" s="5">
        <v>4065495</v>
      </c>
    </row>
    <row r="31" spans="1:12" x14ac:dyDescent="0.25">
      <c r="A31" s="4">
        <v>45929</v>
      </c>
      <c r="B31" s="5" t="s">
        <v>47</v>
      </c>
      <c r="C31" s="6">
        <v>3</v>
      </c>
      <c r="D31" s="5" t="s">
        <v>13</v>
      </c>
      <c r="E31" s="5">
        <v>4880</v>
      </c>
      <c r="F31" s="7">
        <f t="shared" si="0"/>
        <v>14640</v>
      </c>
      <c r="G31" s="7">
        <f t="shared" si="1"/>
        <v>2781.6</v>
      </c>
      <c r="H31" s="7">
        <f t="shared" si="2"/>
        <v>17421.599999999999</v>
      </c>
      <c r="I31" s="5" t="s">
        <v>25</v>
      </c>
      <c r="J31" s="5" t="s">
        <v>15</v>
      </c>
      <c r="K31" s="5" t="s">
        <v>390</v>
      </c>
      <c r="L31" s="5">
        <v>4065495</v>
      </c>
    </row>
    <row r="32" spans="1:12" x14ac:dyDescent="0.25">
      <c r="A32" s="4">
        <v>45929</v>
      </c>
      <c r="B32" s="5" t="s">
        <v>48</v>
      </c>
      <c r="C32" s="6">
        <v>20</v>
      </c>
      <c r="D32" s="5" t="s">
        <v>13</v>
      </c>
      <c r="E32" s="5">
        <v>264.5</v>
      </c>
      <c r="F32" s="7">
        <f t="shared" si="0"/>
        <v>5290</v>
      </c>
      <c r="G32" s="7">
        <f t="shared" si="1"/>
        <v>1005.1</v>
      </c>
      <c r="H32" s="7">
        <f t="shared" si="2"/>
        <v>6295.1</v>
      </c>
      <c r="I32" s="5" t="s">
        <v>25</v>
      </c>
      <c r="J32" s="5" t="s">
        <v>15</v>
      </c>
      <c r="K32" s="5" t="s">
        <v>390</v>
      </c>
      <c r="L32" s="5">
        <v>4065495</v>
      </c>
    </row>
    <row r="33" spans="1:12" x14ac:dyDescent="0.25">
      <c r="A33" s="4">
        <v>45929</v>
      </c>
      <c r="B33" s="5" t="s">
        <v>49</v>
      </c>
      <c r="C33" s="6">
        <v>2</v>
      </c>
      <c r="D33" s="5" t="s">
        <v>13</v>
      </c>
      <c r="E33" s="5">
        <v>11765</v>
      </c>
      <c r="F33" s="7">
        <f t="shared" si="0"/>
        <v>23530</v>
      </c>
      <c r="G33" s="7">
        <f t="shared" si="1"/>
        <v>4470.7</v>
      </c>
      <c r="H33" s="7">
        <f t="shared" si="2"/>
        <v>28000.7</v>
      </c>
      <c r="I33" s="5" t="s">
        <v>25</v>
      </c>
      <c r="J33" s="5" t="s">
        <v>15</v>
      </c>
      <c r="K33" s="5" t="s">
        <v>390</v>
      </c>
      <c r="L33" s="5">
        <v>4065495</v>
      </c>
    </row>
    <row r="34" spans="1:12" x14ac:dyDescent="0.25">
      <c r="A34" s="4">
        <v>45929</v>
      </c>
      <c r="B34" s="5" t="s">
        <v>50</v>
      </c>
      <c r="C34" s="6">
        <v>2</v>
      </c>
      <c r="D34" s="5" t="s">
        <v>13</v>
      </c>
      <c r="E34" s="5">
        <v>1708</v>
      </c>
      <c r="F34" s="7">
        <f t="shared" si="0"/>
        <v>3416</v>
      </c>
      <c r="G34" s="7">
        <f t="shared" si="1"/>
        <v>649.04</v>
      </c>
      <c r="H34" s="7">
        <f t="shared" si="2"/>
        <v>4065.04</v>
      </c>
      <c r="I34" s="5" t="s">
        <v>25</v>
      </c>
      <c r="J34" s="5" t="s">
        <v>15</v>
      </c>
      <c r="K34" s="5" t="s">
        <v>390</v>
      </c>
      <c r="L34" s="5">
        <v>4065495</v>
      </c>
    </row>
    <row r="35" spans="1:12" x14ac:dyDescent="0.25">
      <c r="A35" s="4">
        <v>45929</v>
      </c>
      <c r="B35" s="5" t="s">
        <v>51</v>
      </c>
      <c r="C35" s="6">
        <v>1</v>
      </c>
      <c r="D35" s="5" t="s">
        <v>13</v>
      </c>
      <c r="E35" s="5">
        <v>90</v>
      </c>
      <c r="F35" s="7">
        <f t="shared" si="0"/>
        <v>90</v>
      </c>
      <c r="G35" s="7">
        <f t="shared" si="1"/>
        <v>17.100000000000001</v>
      </c>
      <c r="H35" s="7">
        <f t="shared" si="2"/>
        <v>107.1</v>
      </c>
      <c r="I35" s="5" t="s">
        <v>25</v>
      </c>
      <c r="J35" s="5" t="s">
        <v>15</v>
      </c>
      <c r="K35" s="5" t="s">
        <v>390</v>
      </c>
      <c r="L35" s="5">
        <v>4065495</v>
      </c>
    </row>
    <row r="36" spans="1:12" x14ac:dyDescent="0.25">
      <c r="A36" s="4">
        <v>45929</v>
      </c>
      <c r="B36" s="5" t="s">
        <v>35</v>
      </c>
      <c r="C36" s="6">
        <v>4</v>
      </c>
      <c r="D36" s="5" t="s">
        <v>13</v>
      </c>
      <c r="E36" s="5">
        <v>295</v>
      </c>
      <c r="F36" s="7">
        <f t="shared" si="0"/>
        <v>1180</v>
      </c>
      <c r="G36" s="7">
        <f t="shared" si="1"/>
        <v>224.2</v>
      </c>
      <c r="H36" s="7">
        <f t="shared" si="2"/>
        <v>1404.2</v>
      </c>
      <c r="I36" s="5" t="s">
        <v>25</v>
      </c>
      <c r="J36" s="5" t="s">
        <v>15</v>
      </c>
      <c r="K36" s="5" t="s">
        <v>390</v>
      </c>
      <c r="L36" s="5">
        <v>4065495</v>
      </c>
    </row>
    <row r="37" spans="1:12" x14ac:dyDescent="0.25">
      <c r="A37" s="4">
        <v>45929</v>
      </c>
      <c r="B37" s="5" t="s">
        <v>52</v>
      </c>
      <c r="C37" s="6">
        <v>1</v>
      </c>
      <c r="D37" s="5" t="s">
        <v>13</v>
      </c>
      <c r="E37" s="5">
        <v>1350</v>
      </c>
      <c r="F37" s="7">
        <f t="shared" si="0"/>
        <v>1350</v>
      </c>
      <c r="G37" s="7">
        <f t="shared" si="1"/>
        <v>256.5</v>
      </c>
      <c r="H37" s="7">
        <f t="shared" si="2"/>
        <v>1606.5</v>
      </c>
      <c r="I37" s="5" t="s">
        <v>25</v>
      </c>
      <c r="J37" s="5" t="s">
        <v>15</v>
      </c>
      <c r="K37" s="5" t="s">
        <v>390</v>
      </c>
      <c r="L37" s="5">
        <v>4065495</v>
      </c>
    </row>
    <row r="38" spans="1:12" x14ac:dyDescent="0.25">
      <c r="A38" s="4">
        <v>45965</v>
      </c>
      <c r="B38" s="5" t="s">
        <v>53</v>
      </c>
      <c r="C38" s="6">
        <v>2</v>
      </c>
      <c r="D38" s="5" t="s">
        <v>13</v>
      </c>
      <c r="E38" s="5">
        <v>939</v>
      </c>
      <c r="F38" s="7">
        <f t="shared" si="0"/>
        <v>1878</v>
      </c>
      <c r="G38" s="7">
        <f t="shared" si="1"/>
        <v>356.82</v>
      </c>
      <c r="H38" s="7">
        <f t="shared" si="2"/>
        <v>2234.8200000000002</v>
      </c>
      <c r="I38" s="5" t="s">
        <v>54</v>
      </c>
      <c r="J38" s="5" t="s">
        <v>15</v>
      </c>
      <c r="K38" s="5" t="s">
        <v>391</v>
      </c>
      <c r="L38" s="5">
        <v>3165209</v>
      </c>
    </row>
    <row r="39" spans="1:12" x14ac:dyDescent="0.25">
      <c r="A39" s="4">
        <v>45965</v>
      </c>
      <c r="B39" s="5" t="s">
        <v>55</v>
      </c>
      <c r="C39" s="6">
        <v>2</v>
      </c>
      <c r="D39" s="5" t="s">
        <v>13</v>
      </c>
      <c r="E39" s="5">
        <v>693</v>
      </c>
      <c r="F39" s="7">
        <f t="shared" si="0"/>
        <v>1386</v>
      </c>
      <c r="G39" s="7">
        <f t="shared" si="1"/>
        <v>263.33999999999997</v>
      </c>
      <c r="H39" s="7">
        <f t="shared" si="2"/>
        <v>1649.34</v>
      </c>
      <c r="I39" s="5" t="s">
        <v>54</v>
      </c>
      <c r="J39" s="5" t="s">
        <v>15</v>
      </c>
      <c r="K39" s="5" t="s">
        <v>391</v>
      </c>
      <c r="L39" s="5">
        <v>3165209</v>
      </c>
    </row>
    <row r="40" spans="1:12" x14ac:dyDescent="0.25">
      <c r="A40" s="4">
        <v>45965</v>
      </c>
      <c r="B40" s="5" t="s">
        <v>56</v>
      </c>
      <c r="C40" s="6">
        <v>1</v>
      </c>
      <c r="D40" s="5" t="s">
        <v>13</v>
      </c>
      <c r="E40" s="5">
        <v>5068</v>
      </c>
      <c r="F40" s="7">
        <f t="shared" si="0"/>
        <v>5068</v>
      </c>
      <c r="G40" s="7">
        <f t="shared" si="1"/>
        <v>962.92</v>
      </c>
      <c r="H40" s="7">
        <f t="shared" si="2"/>
        <v>6030.92</v>
      </c>
      <c r="I40" s="5" t="s">
        <v>54</v>
      </c>
      <c r="J40" s="5" t="s">
        <v>15</v>
      </c>
      <c r="K40" s="5" t="s">
        <v>391</v>
      </c>
      <c r="L40" s="5">
        <v>3165209</v>
      </c>
    </row>
    <row r="41" spans="1:12" x14ac:dyDescent="0.25">
      <c r="A41" s="4">
        <v>45965</v>
      </c>
      <c r="B41" s="5" t="s">
        <v>57</v>
      </c>
      <c r="C41" s="6">
        <v>1</v>
      </c>
      <c r="D41" s="5" t="s">
        <v>13</v>
      </c>
      <c r="E41" s="5">
        <v>1347</v>
      </c>
      <c r="F41" s="7">
        <f t="shared" si="0"/>
        <v>1347</v>
      </c>
      <c r="G41" s="7">
        <f t="shared" si="1"/>
        <v>255.93</v>
      </c>
      <c r="H41" s="7">
        <f t="shared" si="2"/>
        <v>1602.93</v>
      </c>
      <c r="I41" s="5" t="s">
        <v>54</v>
      </c>
      <c r="J41" s="5" t="s">
        <v>15</v>
      </c>
      <c r="K41" s="5" t="s">
        <v>391</v>
      </c>
      <c r="L41" s="5">
        <v>3165209</v>
      </c>
    </row>
    <row r="42" spans="1:12" x14ac:dyDescent="0.25">
      <c r="A42" s="4">
        <v>45965</v>
      </c>
      <c r="B42" s="5" t="s">
        <v>58</v>
      </c>
      <c r="C42" s="6">
        <v>1</v>
      </c>
      <c r="D42" s="5" t="s">
        <v>13</v>
      </c>
      <c r="E42" s="5">
        <v>21176.47</v>
      </c>
      <c r="F42" s="7">
        <f t="shared" si="0"/>
        <v>21176.47</v>
      </c>
      <c r="G42" s="7">
        <f t="shared" si="1"/>
        <v>4023.5293000000001</v>
      </c>
      <c r="H42" s="7">
        <f t="shared" si="2"/>
        <v>25199.999300000003</v>
      </c>
      <c r="I42" s="5" t="s">
        <v>59</v>
      </c>
      <c r="J42" s="5" t="s">
        <v>15</v>
      </c>
      <c r="K42" s="5" t="s">
        <v>391</v>
      </c>
      <c r="L42" s="5">
        <v>3165209</v>
      </c>
    </row>
    <row r="43" spans="1:12" x14ac:dyDescent="0.25">
      <c r="A43" s="4">
        <v>46054</v>
      </c>
      <c r="B43" s="5" t="s">
        <v>60</v>
      </c>
      <c r="C43" s="6">
        <v>2</v>
      </c>
      <c r="D43" s="5" t="s">
        <v>13</v>
      </c>
      <c r="E43" s="5">
        <v>5411.67</v>
      </c>
      <c r="F43" s="7">
        <f t="shared" si="0"/>
        <v>10823.34</v>
      </c>
      <c r="G43" s="7">
        <f t="shared" si="1"/>
        <v>2056.4346</v>
      </c>
      <c r="H43" s="7">
        <f t="shared" si="2"/>
        <v>12879.774600000001</v>
      </c>
      <c r="I43" s="5" t="s">
        <v>61</v>
      </c>
      <c r="J43" s="5" t="s">
        <v>15</v>
      </c>
      <c r="K43" s="5" t="s">
        <v>62</v>
      </c>
      <c r="L43" s="5" t="s">
        <v>63</v>
      </c>
    </row>
    <row r="44" spans="1:12" x14ac:dyDescent="0.25">
      <c r="A44" s="4">
        <v>46054</v>
      </c>
      <c r="B44" s="5" t="s">
        <v>64</v>
      </c>
      <c r="C44" s="6">
        <v>8</v>
      </c>
      <c r="D44" s="5" t="s">
        <v>13</v>
      </c>
      <c r="E44" s="5">
        <v>6454.04</v>
      </c>
      <c r="F44" s="7">
        <f t="shared" si="0"/>
        <v>51632.32</v>
      </c>
      <c r="G44" s="7">
        <f t="shared" si="1"/>
        <v>9810.1407999999992</v>
      </c>
      <c r="H44" s="7">
        <f t="shared" si="2"/>
        <v>61442.460800000001</v>
      </c>
      <c r="I44" s="5" t="s">
        <v>61</v>
      </c>
      <c r="J44" s="5" t="s">
        <v>15</v>
      </c>
      <c r="K44" s="5" t="s">
        <v>62</v>
      </c>
      <c r="L44" s="5" t="s">
        <v>63</v>
      </c>
    </row>
    <row r="45" spans="1:12" x14ac:dyDescent="0.25">
      <c r="A45" s="4">
        <v>46054</v>
      </c>
      <c r="B45" s="5" t="s">
        <v>65</v>
      </c>
      <c r="C45" s="6">
        <v>14</v>
      </c>
      <c r="D45" s="5" t="s">
        <v>13</v>
      </c>
      <c r="E45" s="5">
        <v>5777.31</v>
      </c>
      <c r="F45" s="7">
        <f t="shared" si="0"/>
        <v>80882.340000000011</v>
      </c>
      <c r="G45" s="7">
        <f t="shared" si="1"/>
        <v>15367.644600000001</v>
      </c>
      <c r="H45" s="7">
        <f t="shared" si="2"/>
        <v>96249.984600000011</v>
      </c>
      <c r="I45" s="5" t="s">
        <v>61</v>
      </c>
      <c r="J45" s="5" t="s">
        <v>15</v>
      </c>
      <c r="K45" s="5" t="s">
        <v>62</v>
      </c>
      <c r="L45" s="5" t="s">
        <v>63</v>
      </c>
    </row>
    <row r="46" spans="1:12" x14ac:dyDescent="0.25">
      <c r="A46" s="4">
        <v>46054</v>
      </c>
      <c r="B46" s="5" t="s">
        <v>66</v>
      </c>
      <c r="C46" s="6">
        <v>7</v>
      </c>
      <c r="D46" s="5" t="s">
        <v>13</v>
      </c>
      <c r="E46" s="5">
        <v>4529.41</v>
      </c>
      <c r="F46" s="7">
        <f t="shared" si="0"/>
        <v>31705.87</v>
      </c>
      <c r="G46" s="7">
        <f t="shared" si="1"/>
        <v>6024.1152999999995</v>
      </c>
      <c r="H46" s="7">
        <f t="shared" si="2"/>
        <v>37729.9853</v>
      </c>
      <c r="I46" s="5" t="s">
        <v>61</v>
      </c>
      <c r="J46" s="5" t="s">
        <v>15</v>
      </c>
      <c r="K46" s="5" t="s">
        <v>62</v>
      </c>
      <c r="L46" s="5" t="s">
        <v>63</v>
      </c>
    </row>
    <row r="47" spans="1:12" x14ac:dyDescent="0.25">
      <c r="A47" s="4">
        <v>46054</v>
      </c>
      <c r="B47" s="5" t="s">
        <v>67</v>
      </c>
      <c r="C47" s="6">
        <v>15</v>
      </c>
      <c r="D47" s="5" t="s">
        <v>13</v>
      </c>
      <c r="E47" s="5">
        <v>3836.13</v>
      </c>
      <c r="F47" s="7">
        <f t="shared" si="0"/>
        <v>57541.950000000004</v>
      </c>
      <c r="G47" s="7">
        <f t="shared" si="1"/>
        <v>10932.970500000001</v>
      </c>
      <c r="H47" s="7">
        <f t="shared" si="2"/>
        <v>68474.920500000007</v>
      </c>
      <c r="I47" s="5" t="s">
        <v>61</v>
      </c>
      <c r="J47" s="5" t="s">
        <v>15</v>
      </c>
      <c r="K47" s="5" t="s">
        <v>62</v>
      </c>
      <c r="L47" s="5" t="s">
        <v>63</v>
      </c>
    </row>
    <row r="48" spans="1:12" x14ac:dyDescent="0.25">
      <c r="A48" s="4">
        <v>46054</v>
      </c>
      <c r="B48" s="5" t="s">
        <v>68</v>
      </c>
      <c r="C48" s="6">
        <v>11</v>
      </c>
      <c r="D48" s="5" t="s">
        <v>13</v>
      </c>
      <c r="E48" s="5">
        <v>2897.89</v>
      </c>
      <c r="F48" s="7">
        <f t="shared" si="0"/>
        <v>31876.789999999997</v>
      </c>
      <c r="G48" s="7">
        <f t="shared" si="1"/>
        <v>6056.5900999999994</v>
      </c>
      <c r="H48" s="7">
        <f t="shared" si="2"/>
        <v>37933.380099999995</v>
      </c>
      <c r="I48" s="5" t="s">
        <v>61</v>
      </c>
      <c r="J48" s="5" t="s">
        <v>15</v>
      </c>
      <c r="K48" s="5" t="s">
        <v>62</v>
      </c>
      <c r="L48" s="5" t="s">
        <v>63</v>
      </c>
    </row>
    <row r="49" spans="1:12" x14ac:dyDescent="0.25">
      <c r="A49" s="4">
        <v>46054</v>
      </c>
      <c r="B49" s="5" t="s">
        <v>69</v>
      </c>
      <c r="C49" s="6">
        <v>2000</v>
      </c>
      <c r="D49" s="5" t="s">
        <v>13</v>
      </c>
      <c r="E49" s="5">
        <v>155.29</v>
      </c>
      <c r="F49" s="7">
        <f t="shared" si="0"/>
        <v>310580</v>
      </c>
      <c r="G49" s="7">
        <f t="shared" si="1"/>
        <v>59010.2</v>
      </c>
      <c r="H49" s="7">
        <f t="shared" si="2"/>
        <v>369590.2</v>
      </c>
      <c r="I49" s="5" t="s">
        <v>61</v>
      </c>
      <c r="J49" s="5" t="s">
        <v>15</v>
      </c>
      <c r="K49" s="5" t="s">
        <v>62</v>
      </c>
      <c r="L49" s="5" t="s">
        <v>63</v>
      </c>
    </row>
    <row r="50" spans="1:12" x14ac:dyDescent="0.25">
      <c r="A50" s="4">
        <v>46054</v>
      </c>
      <c r="B50" s="5" t="s">
        <v>70</v>
      </c>
      <c r="C50" s="6">
        <v>2000</v>
      </c>
      <c r="D50" s="5" t="s">
        <v>13</v>
      </c>
      <c r="E50" s="5">
        <v>155.29</v>
      </c>
      <c r="F50" s="7">
        <f t="shared" si="0"/>
        <v>310580</v>
      </c>
      <c r="G50" s="7">
        <f t="shared" si="1"/>
        <v>59010.2</v>
      </c>
      <c r="H50" s="7">
        <f t="shared" si="2"/>
        <v>369590.2</v>
      </c>
      <c r="I50" s="5" t="s">
        <v>61</v>
      </c>
      <c r="J50" s="5" t="s">
        <v>15</v>
      </c>
      <c r="K50" s="5" t="s">
        <v>62</v>
      </c>
      <c r="L50" s="5" t="s">
        <v>63</v>
      </c>
    </row>
    <row r="51" spans="1:12" x14ac:dyDescent="0.25">
      <c r="A51" s="4">
        <v>46054</v>
      </c>
      <c r="B51" s="5" t="s">
        <v>71</v>
      </c>
      <c r="C51" s="6">
        <v>2000</v>
      </c>
      <c r="D51" s="5" t="s">
        <v>13</v>
      </c>
      <c r="E51" s="5">
        <v>103.52</v>
      </c>
      <c r="F51" s="7">
        <f t="shared" si="0"/>
        <v>207040</v>
      </c>
      <c r="G51" s="7">
        <f t="shared" si="1"/>
        <v>39337.599999999999</v>
      </c>
      <c r="H51" s="7">
        <f t="shared" si="2"/>
        <v>246377.60000000001</v>
      </c>
      <c r="I51" s="5" t="s">
        <v>61</v>
      </c>
      <c r="J51" s="5" t="s">
        <v>15</v>
      </c>
      <c r="K51" s="5" t="s">
        <v>62</v>
      </c>
      <c r="L51" s="5" t="s">
        <v>63</v>
      </c>
    </row>
    <row r="52" spans="1:12" x14ac:dyDescent="0.25">
      <c r="A52" s="4">
        <v>46054</v>
      </c>
      <c r="B52" s="5" t="s">
        <v>72</v>
      </c>
      <c r="C52" s="6">
        <v>1000</v>
      </c>
      <c r="D52" s="5" t="s">
        <v>13</v>
      </c>
      <c r="E52" s="5">
        <v>103.52</v>
      </c>
      <c r="F52" s="7">
        <f t="shared" si="0"/>
        <v>103520</v>
      </c>
      <c r="G52" s="7">
        <f t="shared" si="1"/>
        <v>19668.8</v>
      </c>
      <c r="H52" s="7">
        <f t="shared" si="2"/>
        <v>123188.8</v>
      </c>
      <c r="I52" s="5" t="s">
        <v>61</v>
      </c>
      <c r="J52" s="5" t="s">
        <v>15</v>
      </c>
      <c r="K52" s="5" t="s">
        <v>62</v>
      </c>
      <c r="L52" s="5" t="s">
        <v>63</v>
      </c>
    </row>
    <row r="53" spans="1:12" x14ac:dyDescent="0.25">
      <c r="A53" s="4">
        <v>46054</v>
      </c>
      <c r="B53" s="5" t="s">
        <v>73</v>
      </c>
      <c r="C53" s="6">
        <v>250</v>
      </c>
      <c r="D53" s="5" t="s">
        <v>13</v>
      </c>
      <c r="E53" s="5">
        <v>162.97999999999999</v>
      </c>
      <c r="F53" s="7">
        <f t="shared" si="0"/>
        <v>40745</v>
      </c>
      <c r="G53" s="7">
        <f t="shared" si="1"/>
        <v>7741.55</v>
      </c>
      <c r="H53" s="7">
        <f t="shared" si="2"/>
        <v>48486.55</v>
      </c>
      <c r="I53" s="5" t="s">
        <v>61</v>
      </c>
      <c r="J53" s="5" t="s">
        <v>15</v>
      </c>
      <c r="K53" s="5" t="s">
        <v>62</v>
      </c>
      <c r="L53" s="5" t="s">
        <v>63</v>
      </c>
    </row>
    <row r="54" spans="1:12" x14ac:dyDescent="0.25">
      <c r="A54" s="4">
        <v>46054</v>
      </c>
      <c r="B54" s="5" t="s">
        <v>74</v>
      </c>
      <c r="C54" s="6">
        <v>100</v>
      </c>
      <c r="D54" s="5" t="s">
        <v>13</v>
      </c>
      <c r="E54" s="5">
        <v>25.16</v>
      </c>
      <c r="F54" s="7">
        <f t="shared" si="0"/>
        <v>2516</v>
      </c>
      <c r="G54" s="7">
        <f t="shared" si="1"/>
        <v>478.04</v>
      </c>
      <c r="H54" s="7">
        <f t="shared" si="2"/>
        <v>2994.04</v>
      </c>
      <c r="I54" s="5" t="s">
        <v>61</v>
      </c>
      <c r="J54" s="5" t="s">
        <v>15</v>
      </c>
      <c r="K54" s="5" t="s">
        <v>62</v>
      </c>
      <c r="L54" s="5" t="s">
        <v>63</v>
      </c>
    </row>
    <row r="55" spans="1:12" x14ac:dyDescent="0.25">
      <c r="A55" s="4">
        <v>46054</v>
      </c>
      <c r="B55" s="5" t="s">
        <v>75</v>
      </c>
      <c r="C55" s="6">
        <v>50</v>
      </c>
      <c r="D55" s="5" t="s">
        <v>13</v>
      </c>
      <c r="E55" s="5">
        <v>22.49</v>
      </c>
      <c r="F55" s="7">
        <f t="shared" si="0"/>
        <v>1124.5</v>
      </c>
      <c r="G55" s="7">
        <f t="shared" si="1"/>
        <v>213.655</v>
      </c>
      <c r="H55" s="7">
        <f t="shared" si="2"/>
        <v>1338.155</v>
      </c>
      <c r="I55" s="5" t="s">
        <v>61</v>
      </c>
      <c r="J55" s="5" t="s">
        <v>15</v>
      </c>
      <c r="K55" s="5" t="s">
        <v>62</v>
      </c>
      <c r="L55" s="5" t="s">
        <v>63</v>
      </c>
    </row>
    <row r="56" spans="1:12" x14ac:dyDescent="0.25">
      <c r="A56" s="4">
        <v>46054</v>
      </c>
      <c r="B56" s="5" t="s">
        <v>76</v>
      </c>
      <c r="C56" s="6">
        <v>16</v>
      </c>
      <c r="D56" s="5" t="s">
        <v>13</v>
      </c>
      <c r="E56" s="5">
        <v>379.34</v>
      </c>
      <c r="F56" s="7">
        <f t="shared" si="0"/>
        <v>6069.44</v>
      </c>
      <c r="G56" s="7">
        <f t="shared" si="1"/>
        <v>1153.1935999999998</v>
      </c>
      <c r="H56" s="7">
        <f t="shared" si="2"/>
        <v>7222.6335999999992</v>
      </c>
      <c r="I56" s="5" t="s">
        <v>61</v>
      </c>
      <c r="J56" s="5" t="s">
        <v>15</v>
      </c>
      <c r="K56" s="5" t="s">
        <v>62</v>
      </c>
      <c r="L56" s="5" t="s">
        <v>63</v>
      </c>
    </row>
    <row r="57" spans="1:12" x14ac:dyDescent="0.25">
      <c r="A57" s="4">
        <v>46054</v>
      </c>
      <c r="B57" s="5" t="s">
        <v>77</v>
      </c>
      <c r="C57" s="6">
        <v>300</v>
      </c>
      <c r="D57" s="5" t="s">
        <v>13</v>
      </c>
      <c r="E57" s="5">
        <v>54.62</v>
      </c>
      <c r="F57" s="7">
        <f t="shared" si="0"/>
        <v>16386</v>
      </c>
      <c r="G57" s="7">
        <f t="shared" si="1"/>
        <v>3113.34</v>
      </c>
      <c r="H57" s="7">
        <f t="shared" si="2"/>
        <v>19499.34</v>
      </c>
      <c r="I57" s="5" t="s">
        <v>61</v>
      </c>
      <c r="J57" s="5" t="s">
        <v>15</v>
      </c>
      <c r="K57" s="5" t="s">
        <v>62</v>
      </c>
      <c r="L57" s="5" t="s">
        <v>63</v>
      </c>
    </row>
    <row r="58" spans="1:12" x14ac:dyDescent="0.25">
      <c r="A58" s="4">
        <v>46054</v>
      </c>
      <c r="B58" s="5" t="s">
        <v>78</v>
      </c>
      <c r="C58" s="6">
        <v>300</v>
      </c>
      <c r="D58" s="5" t="s">
        <v>13</v>
      </c>
      <c r="E58" s="5">
        <v>2.77</v>
      </c>
      <c r="F58" s="7">
        <f t="shared" si="0"/>
        <v>831</v>
      </c>
      <c r="G58" s="7">
        <f t="shared" si="1"/>
        <v>157.89000000000001</v>
      </c>
      <c r="H58" s="7">
        <f t="shared" si="2"/>
        <v>988.89</v>
      </c>
      <c r="I58" s="5" t="s">
        <v>61</v>
      </c>
      <c r="J58" s="5" t="s">
        <v>15</v>
      </c>
      <c r="K58" s="5" t="s">
        <v>62</v>
      </c>
      <c r="L58" s="5" t="s">
        <v>63</v>
      </c>
    </row>
    <row r="59" spans="1:12" x14ac:dyDescent="0.25">
      <c r="A59" s="4">
        <v>46054</v>
      </c>
      <c r="B59" s="5" t="s">
        <v>79</v>
      </c>
      <c r="C59" s="6">
        <v>275</v>
      </c>
      <c r="D59" s="5" t="s">
        <v>13</v>
      </c>
      <c r="E59" s="5">
        <v>1247.8900000000001</v>
      </c>
      <c r="F59" s="7">
        <f t="shared" si="0"/>
        <v>343169.75</v>
      </c>
      <c r="G59" s="7">
        <f t="shared" si="1"/>
        <v>65202.252500000002</v>
      </c>
      <c r="H59" s="7">
        <f t="shared" si="2"/>
        <v>408372.0025</v>
      </c>
      <c r="I59" s="5" t="s">
        <v>61</v>
      </c>
      <c r="J59" s="5" t="s">
        <v>15</v>
      </c>
      <c r="K59" s="5" t="s">
        <v>62</v>
      </c>
      <c r="L59" s="5" t="s">
        <v>63</v>
      </c>
    </row>
    <row r="60" spans="1:12" x14ac:dyDescent="0.25">
      <c r="A60" s="4">
        <v>46054</v>
      </c>
      <c r="B60" s="5" t="s">
        <v>80</v>
      </c>
      <c r="C60" s="6">
        <v>20</v>
      </c>
      <c r="D60" s="5" t="s">
        <v>13</v>
      </c>
      <c r="E60" s="5">
        <v>334.85</v>
      </c>
      <c r="F60" s="7">
        <f t="shared" si="0"/>
        <v>6697</v>
      </c>
      <c r="G60" s="7">
        <f t="shared" si="1"/>
        <v>1272.43</v>
      </c>
      <c r="H60" s="7">
        <f t="shared" si="2"/>
        <v>7969.43</v>
      </c>
      <c r="I60" s="5" t="s">
        <v>61</v>
      </c>
      <c r="J60" s="5" t="s">
        <v>15</v>
      </c>
      <c r="K60" s="5" t="s">
        <v>62</v>
      </c>
      <c r="L60" s="5" t="s">
        <v>63</v>
      </c>
    </row>
    <row r="61" spans="1:12" x14ac:dyDescent="0.25">
      <c r="A61" s="4">
        <v>46054</v>
      </c>
      <c r="B61" s="5" t="s">
        <v>81</v>
      </c>
      <c r="C61" s="6">
        <v>16</v>
      </c>
      <c r="D61" s="5" t="s">
        <v>13</v>
      </c>
      <c r="E61" s="5">
        <v>1525.21</v>
      </c>
      <c r="F61" s="7">
        <f t="shared" si="0"/>
        <v>24403.360000000001</v>
      </c>
      <c r="G61" s="7">
        <f t="shared" si="1"/>
        <v>4636.6383999999998</v>
      </c>
      <c r="H61" s="7">
        <f t="shared" si="2"/>
        <v>29039.9984</v>
      </c>
      <c r="I61" s="5" t="s">
        <v>61</v>
      </c>
      <c r="J61" s="5" t="s">
        <v>15</v>
      </c>
      <c r="K61" s="5" t="s">
        <v>62</v>
      </c>
      <c r="L61" s="5" t="s">
        <v>63</v>
      </c>
    </row>
    <row r="62" spans="1:12" x14ac:dyDescent="0.25">
      <c r="A62" s="4">
        <v>46054</v>
      </c>
      <c r="B62" s="5" t="s">
        <v>82</v>
      </c>
      <c r="C62" s="6">
        <v>1</v>
      </c>
      <c r="D62" s="5" t="s">
        <v>13</v>
      </c>
      <c r="E62" s="5">
        <v>915.12</v>
      </c>
      <c r="F62" s="7">
        <f t="shared" si="0"/>
        <v>915.12</v>
      </c>
      <c r="G62" s="7">
        <f t="shared" si="1"/>
        <v>173.87280000000001</v>
      </c>
      <c r="H62" s="7">
        <f t="shared" si="2"/>
        <v>1088.9928</v>
      </c>
      <c r="I62" s="5" t="s">
        <v>61</v>
      </c>
      <c r="J62" s="5" t="s">
        <v>15</v>
      </c>
      <c r="K62" s="5" t="s">
        <v>62</v>
      </c>
      <c r="L62" s="5" t="s">
        <v>63</v>
      </c>
    </row>
    <row r="63" spans="1:12" x14ac:dyDescent="0.25">
      <c r="A63" s="4">
        <v>46054</v>
      </c>
      <c r="B63" s="5" t="s">
        <v>83</v>
      </c>
      <c r="C63" s="6">
        <v>47</v>
      </c>
      <c r="D63" s="5" t="s">
        <v>13</v>
      </c>
      <c r="E63" s="5">
        <v>115.54</v>
      </c>
      <c r="F63" s="7">
        <f t="shared" si="0"/>
        <v>5430.38</v>
      </c>
      <c r="G63" s="7">
        <f t="shared" si="1"/>
        <v>1031.7722000000001</v>
      </c>
      <c r="H63" s="7">
        <f t="shared" si="2"/>
        <v>6462.1522000000004</v>
      </c>
      <c r="I63" s="5" t="s">
        <v>61</v>
      </c>
      <c r="J63" s="5" t="s">
        <v>15</v>
      </c>
      <c r="K63" s="5" t="s">
        <v>62</v>
      </c>
      <c r="L63" s="5" t="s">
        <v>63</v>
      </c>
    </row>
    <row r="64" spans="1:12" x14ac:dyDescent="0.25">
      <c r="A64" s="4">
        <v>46054</v>
      </c>
      <c r="B64" s="5" t="s">
        <v>84</v>
      </c>
      <c r="C64" s="6">
        <v>50</v>
      </c>
      <c r="D64" s="5" t="s">
        <v>13</v>
      </c>
      <c r="E64" s="5">
        <v>84.03</v>
      </c>
      <c r="F64" s="7">
        <f t="shared" si="0"/>
        <v>4201.5</v>
      </c>
      <c r="G64" s="7">
        <f t="shared" si="1"/>
        <v>798.28499999999997</v>
      </c>
      <c r="H64" s="7">
        <f t="shared" si="2"/>
        <v>4999.7849999999999</v>
      </c>
      <c r="I64" s="5" t="s">
        <v>61</v>
      </c>
      <c r="J64" s="5" t="s">
        <v>15</v>
      </c>
      <c r="K64" s="5" t="s">
        <v>62</v>
      </c>
      <c r="L64" s="5" t="s">
        <v>63</v>
      </c>
    </row>
    <row r="65" spans="1:12" x14ac:dyDescent="0.25">
      <c r="A65" s="4">
        <v>46054</v>
      </c>
      <c r="B65" s="5" t="s">
        <v>85</v>
      </c>
      <c r="C65" s="6">
        <v>25</v>
      </c>
      <c r="D65" s="5" t="s">
        <v>13</v>
      </c>
      <c r="E65" s="5">
        <v>127.56</v>
      </c>
      <c r="F65" s="7">
        <f t="shared" si="0"/>
        <v>3189</v>
      </c>
      <c r="G65" s="7">
        <f t="shared" si="1"/>
        <v>605.91</v>
      </c>
      <c r="H65" s="7">
        <f t="shared" si="2"/>
        <v>3794.91</v>
      </c>
      <c r="I65" s="5" t="s">
        <v>61</v>
      </c>
      <c r="J65" s="5" t="s">
        <v>15</v>
      </c>
      <c r="K65" s="5" t="s">
        <v>62</v>
      </c>
      <c r="L65" s="5" t="s">
        <v>63</v>
      </c>
    </row>
    <row r="66" spans="1:12" x14ac:dyDescent="0.25">
      <c r="A66" s="4">
        <v>46054</v>
      </c>
      <c r="B66" s="5" t="s">
        <v>86</v>
      </c>
      <c r="C66" s="6">
        <v>15</v>
      </c>
      <c r="D66" s="5" t="s">
        <v>13</v>
      </c>
      <c r="E66" s="5">
        <v>1247.8900000000001</v>
      </c>
      <c r="F66" s="7">
        <f t="shared" ref="F66:F129" si="3">C66*E66</f>
        <v>18718.350000000002</v>
      </c>
      <c r="G66" s="7">
        <f t="shared" ref="G66:G129" si="4">F66*0.19</f>
        <v>3556.4865000000004</v>
      </c>
      <c r="H66" s="7">
        <f t="shared" ref="H66:H129" si="5">F66+G66</f>
        <v>22274.836500000001</v>
      </c>
      <c r="I66" s="5" t="s">
        <v>61</v>
      </c>
      <c r="J66" s="5" t="s">
        <v>15</v>
      </c>
      <c r="K66" s="5" t="s">
        <v>62</v>
      </c>
      <c r="L66" s="5" t="s">
        <v>63</v>
      </c>
    </row>
    <row r="67" spans="1:12" x14ac:dyDescent="0.25">
      <c r="A67" s="4">
        <v>46054</v>
      </c>
      <c r="B67" s="5" t="s">
        <v>87</v>
      </c>
      <c r="C67" s="6">
        <v>100</v>
      </c>
      <c r="D67" s="5" t="s">
        <v>13</v>
      </c>
      <c r="E67" s="5">
        <v>660.93</v>
      </c>
      <c r="F67" s="7">
        <f t="shared" si="3"/>
        <v>66093</v>
      </c>
      <c r="G67" s="7">
        <f t="shared" si="4"/>
        <v>12557.67</v>
      </c>
      <c r="H67" s="7">
        <f t="shared" si="5"/>
        <v>78650.67</v>
      </c>
      <c r="I67" s="5" t="s">
        <v>61</v>
      </c>
      <c r="J67" s="5" t="s">
        <v>15</v>
      </c>
      <c r="K67" s="5" t="s">
        <v>62</v>
      </c>
      <c r="L67" s="5" t="s">
        <v>63</v>
      </c>
    </row>
    <row r="68" spans="1:12" x14ac:dyDescent="0.25">
      <c r="A68" s="4">
        <v>46054</v>
      </c>
      <c r="B68" s="5" t="s">
        <v>88</v>
      </c>
      <c r="C68" s="6">
        <v>10</v>
      </c>
      <c r="D68" s="5" t="s">
        <v>13</v>
      </c>
      <c r="E68" s="5">
        <v>1195.2</v>
      </c>
      <c r="F68" s="7">
        <f t="shared" si="3"/>
        <v>11952</v>
      </c>
      <c r="G68" s="7">
        <f t="shared" si="4"/>
        <v>2270.88</v>
      </c>
      <c r="H68" s="7">
        <f t="shared" si="5"/>
        <v>14222.880000000001</v>
      </c>
      <c r="I68" s="5" t="s">
        <v>61</v>
      </c>
      <c r="J68" s="5" t="s">
        <v>15</v>
      </c>
      <c r="K68" s="5" t="s">
        <v>62</v>
      </c>
      <c r="L68" s="5" t="s">
        <v>63</v>
      </c>
    </row>
    <row r="69" spans="1:12" x14ac:dyDescent="0.25">
      <c r="A69" s="4">
        <v>46054</v>
      </c>
      <c r="B69" s="5" t="s">
        <v>89</v>
      </c>
      <c r="C69" s="6">
        <v>15</v>
      </c>
      <c r="D69" s="5" t="s">
        <v>13</v>
      </c>
      <c r="E69" s="5">
        <v>58.82</v>
      </c>
      <c r="F69" s="7">
        <f t="shared" si="3"/>
        <v>882.3</v>
      </c>
      <c r="G69" s="7">
        <f t="shared" si="4"/>
        <v>167.637</v>
      </c>
      <c r="H69" s="7">
        <f t="shared" si="5"/>
        <v>1049.9369999999999</v>
      </c>
      <c r="I69" s="5" t="s">
        <v>61</v>
      </c>
      <c r="J69" s="5" t="s">
        <v>15</v>
      </c>
      <c r="K69" s="5" t="s">
        <v>62</v>
      </c>
      <c r="L69" s="5" t="s">
        <v>63</v>
      </c>
    </row>
    <row r="70" spans="1:12" x14ac:dyDescent="0.25">
      <c r="A70" s="4">
        <v>46054</v>
      </c>
      <c r="B70" s="5" t="s">
        <v>90</v>
      </c>
      <c r="C70" s="6">
        <v>42</v>
      </c>
      <c r="D70" s="5" t="s">
        <v>13</v>
      </c>
      <c r="E70" s="5">
        <v>58.82</v>
      </c>
      <c r="F70" s="7">
        <f t="shared" si="3"/>
        <v>2470.44</v>
      </c>
      <c r="G70" s="7">
        <f t="shared" si="4"/>
        <v>469.3836</v>
      </c>
      <c r="H70" s="7">
        <f t="shared" si="5"/>
        <v>2939.8236000000002</v>
      </c>
      <c r="I70" s="5" t="s">
        <v>61</v>
      </c>
      <c r="J70" s="5" t="s">
        <v>15</v>
      </c>
      <c r="K70" s="5" t="s">
        <v>62</v>
      </c>
      <c r="L70" s="5" t="s">
        <v>63</v>
      </c>
    </row>
    <row r="71" spans="1:12" x14ac:dyDescent="0.25">
      <c r="A71" s="4">
        <v>46054</v>
      </c>
      <c r="B71" s="5" t="s">
        <v>91</v>
      </c>
      <c r="C71" s="6">
        <v>20</v>
      </c>
      <c r="D71" s="5" t="s">
        <v>13</v>
      </c>
      <c r="E71" s="5">
        <v>138.65</v>
      </c>
      <c r="F71" s="7">
        <f t="shared" si="3"/>
        <v>2773</v>
      </c>
      <c r="G71" s="7">
        <f t="shared" si="4"/>
        <v>526.87</v>
      </c>
      <c r="H71" s="7">
        <f t="shared" si="5"/>
        <v>3299.87</v>
      </c>
      <c r="I71" s="5" t="s">
        <v>61</v>
      </c>
      <c r="J71" s="5" t="s">
        <v>15</v>
      </c>
      <c r="K71" s="5" t="s">
        <v>62</v>
      </c>
      <c r="L71" s="5" t="s">
        <v>63</v>
      </c>
    </row>
    <row r="72" spans="1:12" x14ac:dyDescent="0.25">
      <c r="A72" s="4">
        <v>46054</v>
      </c>
      <c r="B72" s="5" t="s">
        <v>92</v>
      </c>
      <c r="C72" s="6">
        <v>15</v>
      </c>
      <c r="D72" s="5" t="s">
        <v>13</v>
      </c>
      <c r="E72" s="5">
        <v>2218.48</v>
      </c>
      <c r="F72" s="7">
        <f t="shared" si="3"/>
        <v>33277.199999999997</v>
      </c>
      <c r="G72" s="7">
        <f t="shared" si="4"/>
        <v>6322.6679999999997</v>
      </c>
      <c r="H72" s="7">
        <f t="shared" si="5"/>
        <v>39599.867999999995</v>
      </c>
      <c r="I72" s="5" t="s">
        <v>61</v>
      </c>
      <c r="J72" s="5" t="s">
        <v>15</v>
      </c>
      <c r="K72" s="5" t="s">
        <v>62</v>
      </c>
      <c r="L72" s="5" t="s">
        <v>63</v>
      </c>
    </row>
    <row r="73" spans="1:12" x14ac:dyDescent="0.25">
      <c r="A73" s="4">
        <v>46054</v>
      </c>
      <c r="B73" s="5" t="s">
        <v>93</v>
      </c>
      <c r="C73" s="6">
        <v>2000</v>
      </c>
      <c r="D73" s="5" t="s">
        <v>13</v>
      </c>
      <c r="E73" s="5">
        <v>11.092000000000001</v>
      </c>
      <c r="F73" s="7">
        <f t="shared" si="3"/>
        <v>22184</v>
      </c>
      <c r="G73" s="7">
        <f t="shared" si="4"/>
        <v>4214.96</v>
      </c>
      <c r="H73" s="7">
        <f t="shared" si="5"/>
        <v>26398.959999999999</v>
      </c>
      <c r="I73" s="5" t="s">
        <v>61</v>
      </c>
      <c r="J73" s="5" t="s">
        <v>15</v>
      </c>
      <c r="K73" s="5" t="s">
        <v>62</v>
      </c>
      <c r="L73" s="5" t="s">
        <v>63</v>
      </c>
    </row>
    <row r="74" spans="1:12" x14ac:dyDescent="0.25">
      <c r="A74" s="4">
        <v>46054</v>
      </c>
      <c r="B74" s="5" t="s">
        <v>94</v>
      </c>
      <c r="C74" s="6">
        <v>1000</v>
      </c>
      <c r="D74" s="5" t="s">
        <v>13</v>
      </c>
      <c r="E74" s="5">
        <v>23.1</v>
      </c>
      <c r="F74" s="7">
        <f t="shared" si="3"/>
        <v>23100</v>
      </c>
      <c r="G74" s="7">
        <f t="shared" si="4"/>
        <v>4389</v>
      </c>
      <c r="H74" s="7">
        <f t="shared" si="5"/>
        <v>27489</v>
      </c>
      <c r="I74" s="5" t="s">
        <v>61</v>
      </c>
      <c r="J74" s="5" t="s">
        <v>15</v>
      </c>
      <c r="K74" s="5" t="s">
        <v>62</v>
      </c>
      <c r="L74" s="5" t="s">
        <v>63</v>
      </c>
    </row>
    <row r="75" spans="1:12" x14ac:dyDescent="0.25">
      <c r="A75" s="4">
        <v>46054</v>
      </c>
      <c r="B75" s="5" t="s">
        <v>95</v>
      </c>
      <c r="C75" s="6">
        <v>2</v>
      </c>
      <c r="D75" s="5" t="s">
        <v>13</v>
      </c>
      <c r="E75" s="5">
        <v>1719.32</v>
      </c>
      <c r="F75" s="7">
        <f t="shared" si="3"/>
        <v>3438.64</v>
      </c>
      <c r="G75" s="7">
        <f t="shared" si="4"/>
        <v>653.34159999999997</v>
      </c>
      <c r="H75" s="7">
        <f t="shared" si="5"/>
        <v>4091.9816000000001</v>
      </c>
      <c r="I75" s="5" t="s">
        <v>61</v>
      </c>
      <c r="J75" s="5" t="s">
        <v>15</v>
      </c>
      <c r="K75" s="5" t="s">
        <v>62</v>
      </c>
      <c r="L75" s="5" t="s">
        <v>63</v>
      </c>
    </row>
    <row r="76" spans="1:12" x14ac:dyDescent="0.25">
      <c r="A76" s="4">
        <v>46054</v>
      </c>
      <c r="B76" s="5" t="s">
        <v>96</v>
      </c>
      <c r="C76" s="6">
        <v>2</v>
      </c>
      <c r="D76" s="5" t="s">
        <v>13</v>
      </c>
      <c r="E76" s="5">
        <v>116.93</v>
      </c>
      <c r="F76" s="7">
        <f t="shared" si="3"/>
        <v>233.86</v>
      </c>
      <c r="G76" s="7">
        <f t="shared" si="4"/>
        <v>44.433400000000006</v>
      </c>
      <c r="H76" s="7">
        <f t="shared" si="5"/>
        <v>278.29340000000002</v>
      </c>
      <c r="I76" s="5" t="s">
        <v>61</v>
      </c>
      <c r="J76" s="5" t="s">
        <v>15</v>
      </c>
      <c r="K76" s="5" t="s">
        <v>62</v>
      </c>
      <c r="L76" s="5" t="s">
        <v>63</v>
      </c>
    </row>
    <row r="77" spans="1:12" x14ac:dyDescent="0.25">
      <c r="A77" s="4">
        <v>46054</v>
      </c>
      <c r="B77" s="5" t="s">
        <v>97</v>
      </c>
      <c r="C77" s="6">
        <v>5</v>
      </c>
      <c r="D77" s="5" t="s">
        <v>13</v>
      </c>
      <c r="E77" s="5">
        <v>2218.48</v>
      </c>
      <c r="F77" s="7">
        <f t="shared" si="3"/>
        <v>11092.4</v>
      </c>
      <c r="G77" s="7">
        <f t="shared" si="4"/>
        <v>2107.556</v>
      </c>
      <c r="H77" s="7">
        <f t="shared" si="5"/>
        <v>13199.956</v>
      </c>
      <c r="I77" s="5" t="s">
        <v>61</v>
      </c>
      <c r="J77" s="5" t="s">
        <v>15</v>
      </c>
      <c r="K77" s="5" t="s">
        <v>62</v>
      </c>
      <c r="L77" s="5" t="s">
        <v>63</v>
      </c>
    </row>
    <row r="78" spans="1:12" x14ac:dyDescent="0.25">
      <c r="A78" s="4">
        <v>46054</v>
      </c>
      <c r="B78" s="5" t="s">
        <v>98</v>
      </c>
      <c r="C78" s="6">
        <v>8</v>
      </c>
      <c r="D78" s="5" t="s">
        <v>13</v>
      </c>
      <c r="E78" s="5">
        <v>554.62</v>
      </c>
      <c r="F78" s="7">
        <f t="shared" si="3"/>
        <v>4436.96</v>
      </c>
      <c r="G78" s="7">
        <f t="shared" si="4"/>
        <v>843.02240000000006</v>
      </c>
      <c r="H78" s="7">
        <f t="shared" si="5"/>
        <v>5279.9823999999999</v>
      </c>
      <c r="I78" s="5" t="s">
        <v>61</v>
      </c>
      <c r="J78" s="5" t="s">
        <v>15</v>
      </c>
      <c r="K78" s="5" t="s">
        <v>62</v>
      </c>
      <c r="L78" s="5" t="s">
        <v>63</v>
      </c>
    </row>
    <row r="79" spans="1:12" x14ac:dyDescent="0.25">
      <c r="A79" s="4">
        <v>46041</v>
      </c>
      <c r="B79" s="5" t="s">
        <v>99</v>
      </c>
      <c r="C79" s="6">
        <v>20</v>
      </c>
      <c r="D79" s="5" t="s">
        <v>100</v>
      </c>
      <c r="E79" s="5">
        <v>4201.68</v>
      </c>
      <c r="F79" s="7">
        <f t="shared" si="3"/>
        <v>84033.600000000006</v>
      </c>
      <c r="G79" s="7">
        <f t="shared" si="4"/>
        <v>15966.384000000002</v>
      </c>
      <c r="H79" s="7">
        <f t="shared" si="5"/>
        <v>99999.984000000011</v>
      </c>
      <c r="I79" s="5" t="s">
        <v>101</v>
      </c>
      <c r="J79" s="5" t="s">
        <v>15</v>
      </c>
      <c r="K79" s="5" t="s">
        <v>102</v>
      </c>
      <c r="L79" s="5">
        <v>4065452</v>
      </c>
    </row>
    <row r="80" spans="1:12" x14ac:dyDescent="0.25">
      <c r="A80" s="4">
        <v>46041</v>
      </c>
      <c r="B80" s="5" t="s">
        <v>103</v>
      </c>
      <c r="C80" s="6">
        <v>10</v>
      </c>
      <c r="D80" s="5" t="s">
        <v>104</v>
      </c>
      <c r="E80" s="5">
        <v>159.66</v>
      </c>
      <c r="F80" s="7">
        <f t="shared" si="3"/>
        <v>1596.6</v>
      </c>
      <c r="G80" s="7">
        <f t="shared" si="4"/>
        <v>303.35399999999998</v>
      </c>
      <c r="H80" s="7">
        <f t="shared" si="5"/>
        <v>1899.954</v>
      </c>
      <c r="I80" s="5" t="s">
        <v>101</v>
      </c>
      <c r="J80" s="5" t="s">
        <v>15</v>
      </c>
      <c r="K80" s="5" t="s">
        <v>102</v>
      </c>
      <c r="L80" s="5">
        <v>4065452</v>
      </c>
    </row>
    <row r="81" spans="1:12" x14ac:dyDescent="0.25">
      <c r="A81" s="4">
        <v>46043</v>
      </c>
      <c r="B81" s="5" t="s">
        <v>105</v>
      </c>
      <c r="C81" s="6">
        <v>20</v>
      </c>
      <c r="D81" s="5" t="s">
        <v>13</v>
      </c>
      <c r="E81" s="5">
        <v>1325.22</v>
      </c>
      <c r="F81" s="7">
        <f t="shared" si="3"/>
        <v>26504.400000000001</v>
      </c>
      <c r="G81" s="7">
        <f t="shared" si="4"/>
        <v>5035.8360000000002</v>
      </c>
      <c r="H81" s="7">
        <f t="shared" si="5"/>
        <v>31540.236000000001</v>
      </c>
      <c r="I81" s="5" t="s">
        <v>106</v>
      </c>
      <c r="J81" s="5" t="s">
        <v>15</v>
      </c>
      <c r="K81" s="5" t="s">
        <v>107</v>
      </c>
      <c r="L81" s="5">
        <v>4065468</v>
      </c>
    </row>
    <row r="82" spans="1:12" x14ac:dyDescent="0.25">
      <c r="A82" s="4">
        <v>46043</v>
      </c>
      <c r="B82" s="5" t="s">
        <v>105</v>
      </c>
      <c r="C82" s="6">
        <v>10</v>
      </c>
      <c r="D82" s="5" t="s">
        <v>13</v>
      </c>
      <c r="E82" s="5">
        <v>1562.93</v>
      </c>
      <c r="F82" s="7">
        <f t="shared" si="3"/>
        <v>15629.300000000001</v>
      </c>
      <c r="G82" s="7">
        <f t="shared" si="4"/>
        <v>2969.5670000000005</v>
      </c>
      <c r="H82" s="7">
        <f t="shared" si="5"/>
        <v>18598.867000000002</v>
      </c>
      <c r="I82" s="5" t="s">
        <v>106</v>
      </c>
      <c r="J82" s="5" t="s">
        <v>15</v>
      </c>
      <c r="K82" s="5" t="s">
        <v>107</v>
      </c>
      <c r="L82" s="5">
        <v>4065468</v>
      </c>
    </row>
    <row r="83" spans="1:12" x14ac:dyDescent="0.25">
      <c r="A83" s="4">
        <v>46043</v>
      </c>
      <c r="B83" s="5" t="s">
        <v>105</v>
      </c>
      <c r="C83" s="6">
        <v>10</v>
      </c>
      <c r="D83" s="5" t="s">
        <v>13</v>
      </c>
      <c r="E83" s="5">
        <v>1877.16</v>
      </c>
      <c r="F83" s="7">
        <f t="shared" si="3"/>
        <v>18771.600000000002</v>
      </c>
      <c r="G83" s="7">
        <f t="shared" si="4"/>
        <v>3566.6040000000003</v>
      </c>
      <c r="H83" s="7">
        <f t="shared" si="5"/>
        <v>22338.204000000002</v>
      </c>
      <c r="I83" s="5" t="s">
        <v>106</v>
      </c>
      <c r="J83" s="5" t="s">
        <v>15</v>
      </c>
      <c r="K83" s="5" t="s">
        <v>107</v>
      </c>
      <c r="L83" s="5">
        <v>4065468</v>
      </c>
    </row>
    <row r="84" spans="1:12" x14ac:dyDescent="0.25">
      <c r="A84" s="4">
        <v>46043</v>
      </c>
      <c r="B84" s="5" t="s">
        <v>108</v>
      </c>
      <c r="C84" s="6">
        <v>10</v>
      </c>
      <c r="D84" s="5" t="s">
        <v>13</v>
      </c>
      <c r="E84" s="5">
        <v>1540.15</v>
      </c>
      <c r="F84" s="7">
        <f t="shared" si="3"/>
        <v>15401.5</v>
      </c>
      <c r="G84" s="7">
        <f t="shared" si="4"/>
        <v>2926.2849999999999</v>
      </c>
      <c r="H84" s="7">
        <f t="shared" si="5"/>
        <v>18327.785</v>
      </c>
      <c r="I84" s="5" t="s">
        <v>106</v>
      </c>
      <c r="J84" s="5" t="s">
        <v>15</v>
      </c>
      <c r="K84" s="5" t="s">
        <v>107</v>
      </c>
      <c r="L84" s="5">
        <v>4065468</v>
      </c>
    </row>
    <row r="85" spans="1:12" x14ac:dyDescent="0.25">
      <c r="A85" s="4">
        <v>46048</v>
      </c>
      <c r="B85" s="5" t="s">
        <v>109</v>
      </c>
      <c r="C85" s="6">
        <v>90</v>
      </c>
      <c r="D85" s="5" t="s">
        <v>13</v>
      </c>
      <c r="E85" s="5">
        <v>477.6</v>
      </c>
      <c r="F85" s="7">
        <f t="shared" si="3"/>
        <v>42984</v>
      </c>
      <c r="G85" s="7">
        <f t="shared" si="4"/>
        <v>8166.96</v>
      </c>
      <c r="H85" s="7">
        <f t="shared" si="5"/>
        <v>51150.96</v>
      </c>
      <c r="I85" s="5" t="s">
        <v>61</v>
      </c>
      <c r="J85" s="5" t="s">
        <v>15</v>
      </c>
      <c r="K85" s="5" t="s">
        <v>110</v>
      </c>
      <c r="L85" s="5" t="s">
        <v>63</v>
      </c>
    </row>
    <row r="86" spans="1:12" x14ac:dyDescent="0.25">
      <c r="A86" s="4">
        <v>46048</v>
      </c>
      <c r="B86" s="5" t="s">
        <v>111</v>
      </c>
      <c r="C86" s="6">
        <v>22</v>
      </c>
      <c r="D86" s="5" t="s">
        <v>13</v>
      </c>
      <c r="E86" s="5">
        <v>172.85</v>
      </c>
      <c r="F86" s="7">
        <f t="shared" si="3"/>
        <v>3802.7</v>
      </c>
      <c r="G86" s="7">
        <f t="shared" si="4"/>
        <v>722.51299999999992</v>
      </c>
      <c r="H86" s="7">
        <f t="shared" si="5"/>
        <v>4525.2129999999997</v>
      </c>
      <c r="I86" s="5" t="s">
        <v>61</v>
      </c>
      <c r="J86" s="5" t="s">
        <v>15</v>
      </c>
      <c r="K86" s="5" t="s">
        <v>110</v>
      </c>
      <c r="L86" s="5" t="s">
        <v>63</v>
      </c>
    </row>
    <row r="87" spans="1:12" x14ac:dyDescent="0.25">
      <c r="A87" s="4">
        <v>46048</v>
      </c>
      <c r="B87" s="5" t="s">
        <v>112</v>
      </c>
      <c r="C87" s="6">
        <v>120</v>
      </c>
      <c r="D87" s="5" t="s">
        <v>13</v>
      </c>
      <c r="E87" s="5">
        <v>162.68</v>
      </c>
      <c r="F87" s="7">
        <f t="shared" si="3"/>
        <v>19521.600000000002</v>
      </c>
      <c r="G87" s="7">
        <f t="shared" si="4"/>
        <v>3709.1040000000003</v>
      </c>
      <c r="H87" s="7">
        <f t="shared" si="5"/>
        <v>23230.704000000002</v>
      </c>
      <c r="I87" s="5" t="s">
        <v>61</v>
      </c>
      <c r="J87" s="5" t="s">
        <v>15</v>
      </c>
      <c r="K87" s="5" t="s">
        <v>110</v>
      </c>
      <c r="L87" s="5" t="s">
        <v>63</v>
      </c>
    </row>
    <row r="88" spans="1:12" x14ac:dyDescent="0.25">
      <c r="A88" s="4">
        <v>46048</v>
      </c>
      <c r="B88" s="5" t="s">
        <v>113</v>
      </c>
      <c r="C88" s="6">
        <v>12</v>
      </c>
      <c r="D88" s="5" t="s">
        <v>13</v>
      </c>
      <c r="E88" s="5">
        <v>121.09</v>
      </c>
      <c r="F88" s="7">
        <f t="shared" si="3"/>
        <v>1453.08</v>
      </c>
      <c r="G88" s="7">
        <f t="shared" si="4"/>
        <v>276.08519999999999</v>
      </c>
      <c r="H88" s="7">
        <f t="shared" si="5"/>
        <v>1729.1651999999999</v>
      </c>
      <c r="I88" s="5" t="s">
        <v>61</v>
      </c>
      <c r="J88" s="5" t="s">
        <v>15</v>
      </c>
      <c r="K88" s="5" t="s">
        <v>110</v>
      </c>
      <c r="L88" s="5" t="s">
        <v>63</v>
      </c>
    </row>
    <row r="89" spans="1:12" x14ac:dyDescent="0.25">
      <c r="A89" s="4">
        <v>46048</v>
      </c>
      <c r="B89" s="5" t="s">
        <v>114</v>
      </c>
      <c r="C89" s="6">
        <v>12</v>
      </c>
      <c r="D89" s="5" t="s">
        <v>13</v>
      </c>
      <c r="E89" s="5">
        <v>233.86</v>
      </c>
      <c r="F89" s="7">
        <f t="shared" si="3"/>
        <v>2806.32</v>
      </c>
      <c r="G89" s="7">
        <f t="shared" si="4"/>
        <v>533.20080000000007</v>
      </c>
      <c r="H89" s="7">
        <f t="shared" si="5"/>
        <v>3339.5208000000002</v>
      </c>
      <c r="I89" s="5" t="s">
        <v>61</v>
      </c>
      <c r="J89" s="5" t="s">
        <v>15</v>
      </c>
      <c r="K89" s="5" t="s">
        <v>110</v>
      </c>
      <c r="L89" s="5" t="s">
        <v>63</v>
      </c>
    </row>
    <row r="90" spans="1:12" x14ac:dyDescent="0.25">
      <c r="A90" s="4">
        <v>46048</v>
      </c>
      <c r="B90" s="5" t="s">
        <v>115</v>
      </c>
      <c r="C90" s="6">
        <v>600</v>
      </c>
      <c r="D90" s="5" t="s">
        <v>13</v>
      </c>
      <c r="E90" s="5">
        <v>2.77</v>
      </c>
      <c r="F90" s="7">
        <f t="shared" si="3"/>
        <v>1662</v>
      </c>
      <c r="G90" s="7">
        <f t="shared" si="4"/>
        <v>315.78000000000003</v>
      </c>
      <c r="H90" s="7">
        <f t="shared" si="5"/>
        <v>1977.78</v>
      </c>
      <c r="I90" s="5" t="s">
        <v>61</v>
      </c>
      <c r="J90" s="5" t="s">
        <v>15</v>
      </c>
      <c r="K90" s="5" t="s">
        <v>110</v>
      </c>
      <c r="L90" s="5" t="s">
        <v>63</v>
      </c>
    </row>
    <row r="91" spans="1:12" x14ac:dyDescent="0.25">
      <c r="A91" s="4">
        <v>46048</v>
      </c>
      <c r="B91" s="5" t="s">
        <v>116</v>
      </c>
      <c r="C91" s="6">
        <v>444</v>
      </c>
      <c r="D91" s="5" t="s">
        <v>13</v>
      </c>
      <c r="E91" s="5">
        <v>344.53</v>
      </c>
      <c r="F91" s="7">
        <f t="shared" si="3"/>
        <v>152971.31999999998</v>
      </c>
      <c r="G91" s="7">
        <f t="shared" si="4"/>
        <v>29064.550799999997</v>
      </c>
      <c r="H91" s="7">
        <f t="shared" si="5"/>
        <v>182035.87079999998</v>
      </c>
      <c r="I91" s="5" t="s">
        <v>61</v>
      </c>
      <c r="J91" s="5" t="s">
        <v>15</v>
      </c>
      <c r="K91" s="5" t="s">
        <v>110</v>
      </c>
      <c r="L91" s="5" t="s">
        <v>63</v>
      </c>
    </row>
    <row r="92" spans="1:12" x14ac:dyDescent="0.25">
      <c r="A92" s="4">
        <v>46048</v>
      </c>
      <c r="B92" s="5" t="s">
        <v>117</v>
      </c>
      <c r="C92" s="6">
        <v>120</v>
      </c>
      <c r="D92" s="5" t="s">
        <v>13</v>
      </c>
      <c r="E92" s="5">
        <v>105.73</v>
      </c>
      <c r="F92" s="7">
        <f t="shared" si="3"/>
        <v>12687.6</v>
      </c>
      <c r="G92" s="7">
        <f t="shared" si="4"/>
        <v>2410.6440000000002</v>
      </c>
      <c r="H92" s="7">
        <f t="shared" si="5"/>
        <v>15098.244000000001</v>
      </c>
      <c r="I92" s="5" t="s">
        <v>61</v>
      </c>
      <c r="J92" s="5" t="s">
        <v>15</v>
      </c>
      <c r="K92" s="5" t="s">
        <v>110</v>
      </c>
      <c r="L92" s="5" t="s">
        <v>63</v>
      </c>
    </row>
    <row r="93" spans="1:12" x14ac:dyDescent="0.25">
      <c r="A93" s="4">
        <v>46048</v>
      </c>
      <c r="B93" s="5" t="s">
        <v>118</v>
      </c>
      <c r="C93" s="6">
        <v>48</v>
      </c>
      <c r="D93" s="5" t="s">
        <v>13</v>
      </c>
      <c r="E93" s="5">
        <v>130.94</v>
      </c>
      <c r="F93" s="7">
        <f t="shared" si="3"/>
        <v>6285.12</v>
      </c>
      <c r="G93" s="7">
        <f t="shared" si="4"/>
        <v>1194.1728000000001</v>
      </c>
      <c r="H93" s="7">
        <f t="shared" si="5"/>
        <v>7479.2928000000002</v>
      </c>
      <c r="I93" s="5" t="s">
        <v>61</v>
      </c>
      <c r="J93" s="5" t="s">
        <v>15</v>
      </c>
      <c r="K93" s="5" t="s">
        <v>110</v>
      </c>
      <c r="L93" s="5" t="s">
        <v>63</v>
      </c>
    </row>
    <row r="94" spans="1:12" x14ac:dyDescent="0.25">
      <c r="A94" s="4">
        <v>46048</v>
      </c>
      <c r="B94" s="5" t="s">
        <v>119</v>
      </c>
      <c r="C94" s="6">
        <v>450</v>
      </c>
      <c r="D94" s="5" t="s">
        <v>13</v>
      </c>
      <c r="E94" s="5">
        <v>157.13999999999999</v>
      </c>
      <c r="F94" s="7">
        <f t="shared" si="3"/>
        <v>70713</v>
      </c>
      <c r="G94" s="7">
        <f t="shared" si="4"/>
        <v>13435.47</v>
      </c>
      <c r="H94" s="7">
        <f t="shared" si="5"/>
        <v>84148.47</v>
      </c>
      <c r="I94" s="5" t="s">
        <v>61</v>
      </c>
      <c r="J94" s="5" t="s">
        <v>15</v>
      </c>
      <c r="K94" s="5" t="s">
        <v>110</v>
      </c>
      <c r="L94" s="5" t="s">
        <v>63</v>
      </c>
    </row>
    <row r="95" spans="1:12" x14ac:dyDescent="0.25">
      <c r="A95" s="4">
        <v>46048</v>
      </c>
      <c r="B95" s="5" t="s">
        <v>120</v>
      </c>
      <c r="C95" s="6">
        <v>90</v>
      </c>
      <c r="D95" s="5" t="s">
        <v>13</v>
      </c>
      <c r="E95" s="5">
        <v>477.6</v>
      </c>
      <c r="F95" s="7">
        <f t="shared" si="3"/>
        <v>42984</v>
      </c>
      <c r="G95" s="7">
        <f t="shared" si="4"/>
        <v>8166.96</v>
      </c>
      <c r="H95" s="7">
        <f t="shared" si="5"/>
        <v>51150.96</v>
      </c>
      <c r="I95" s="5" t="s">
        <v>61</v>
      </c>
      <c r="J95" s="5" t="s">
        <v>15</v>
      </c>
      <c r="K95" s="5" t="s">
        <v>110</v>
      </c>
      <c r="L95" s="5" t="s">
        <v>63</v>
      </c>
    </row>
    <row r="96" spans="1:12" x14ac:dyDescent="0.25">
      <c r="A96" s="4">
        <v>46048</v>
      </c>
      <c r="B96" s="5" t="s">
        <v>121</v>
      </c>
      <c r="C96" s="6">
        <v>22</v>
      </c>
      <c r="D96" s="5" t="s">
        <v>13</v>
      </c>
      <c r="E96" s="5">
        <v>172.85</v>
      </c>
      <c r="F96" s="7">
        <f t="shared" si="3"/>
        <v>3802.7</v>
      </c>
      <c r="G96" s="7">
        <f t="shared" si="4"/>
        <v>722.51299999999992</v>
      </c>
      <c r="H96" s="7">
        <f t="shared" si="5"/>
        <v>4525.2129999999997</v>
      </c>
      <c r="I96" s="5" t="s">
        <v>61</v>
      </c>
      <c r="J96" s="5" t="s">
        <v>15</v>
      </c>
      <c r="K96" s="5" t="s">
        <v>110</v>
      </c>
      <c r="L96" s="5" t="s">
        <v>63</v>
      </c>
    </row>
    <row r="97" spans="1:12" x14ac:dyDescent="0.25">
      <c r="A97" s="4">
        <v>46048</v>
      </c>
      <c r="B97" s="5" t="s">
        <v>122</v>
      </c>
      <c r="C97" s="6">
        <v>120</v>
      </c>
      <c r="D97" s="5" t="s">
        <v>13</v>
      </c>
      <c r="E97" s="5">
        <v>162.68</v>
      </c>
      <c r="F97" s="7">
        <f t="shared" si="3"/>
        <v>19521.600000000002</v>
      </c>
      <c r="G97" s="7">
        <f t="shared" si="4"/>
        <v>3709.1040000000003</v>
      </c>
      <c r="H97" s="7">
        <f t="shared" si="5"/>
        <v>23230.704000000002</v>
      </c>
      <c r="I97" s="5" t="s">
        <v>61</v>
      </c>
      <c r="J97" s="5" t="s">
        <v>15</v>
      </c>
      <c r="K97" s="5" t="s">
        <v>110</v>
      </c>
      <c r="L97" s="5" t="s">
        <v>63</v>
      </c>
    </row>
    <row r="98" spans="1:12" x14ac:dyDescent="0.25">
      <c r="A98" s="4">
        <v>46048</v>
      </c>
      <c r="B98" s="5" t="s">
        <v>123</v>
      </c>
      <c r="C98" s="6">
        <v>12</v>
      </c>
      <c r="D98" s="5" t="s">
        <v>13</v>
      </c>
      <c r="E98" s="5">
        <v>121.09</v>
      </c>
      <c r="F98" s="7">
        <f t="shared" si="3"/>
        <v>1453.08</v>
      </c>
      <c r="G98" s="7">
        <f t="shared" si="4"/>
        <v>276.08519999999999</v>
      </c>
      <c r="H98" s="7">
        <f t="shared" si="5"/>
        <v>1729.1651999999999</v>
      </c>
      <c r="I98" s="5" t="s">
        <v>61</v>
      </c>
      <c r="J98" s="5" t="s">
        <v>15</v>
      </c>
      <c r="K98" s="5" t="s">
        <v>110</v>
      </c>
      <c r="L98" s="5" t="s">
        <v>63</v>
      </c>
    </row>
    <row r="99" spans="1:12" x14ac:dyDescent="0.25">
      <c r="A99" s="4">
        <v>46048</v>
      </c>
      <c r="B99" s="5" t="s">
        <v>124</v>
      </c>
      <c r="C99" s="6">
        <v>12</v>
      </c>
      <c r="D99" s="5" t="s">
        <v>13</v>
      </c>
      <c r="E99" s="5">
        <v>233.86</v>
      </c>
      <c r="F99" s="7">
        <f t="shared" si="3"/>
        <v>2806.32</v>
      </c>
      <c r="G99" s="7">
        <f t="shared" si="4"/>
        <v>533.20080000000007</v>
      </c>
      <c r="H99" s="7">
        <f t="shared" si="5"/>
        <v>3339.5208000000002</v>
      </c>
      <c r="I99" s="5" t="s">
        <v>61</v>
      </c>
      <c r="J99" s="5" t="s">
        <v>15</v>
      </c>
      <c r="K99" s="5" t="s">
        <v>110</v>
      </c>
      <c r="L99" s="5" t="s">
        <v>63</v>
      </c>
    </row>
    <row r="100" spans="1:12" x14ac:dyDescent="0.25">
      <c r="A100" s="4">
        <v>46048</v>
      </c>
      <c r="B100" s="5" t="s">
        <v>78</v>
      </c>
      <c r="C100" s="6">
        <v>600</v>
      </c>
      <c r="D100" s="5" t="s">
        <v>13</v>
      </c>
      <c r="E100" s="5">
        <v>2.77</v>
      </c>
      <c r="F100" s="7">
        <f t="shared" si="3"/>
        <v>1662</v>
      </c>
      <c r="G100" s="7">
        <f t="shared" si="4"/>
        <v>315.78000000000003</v>
      </c>
      <c r="H100" s="7">
        <f t="shared" si="5"/>
        <v>1977.78</v>
      </c>
      <c r="I100" s="5" t="s">
        <v>61</v>
      </c>
      <c r="J100" s="5" t="s">
        <v>15</v>
      </c>
      <c r="K100" s="5" t="s">
        <v>110</v>
      </c>
      <c r="L100" s="5" t="s">
        <v>63</v>
      </c>
    </row>
    <row r="101" spans="1:12" x14ac:dyDescent="0.25">
      <c r="A101" s="4">
        <v>46048</v>
      </c>
      <c r="B101" s="5" t="s">
        <v>125</v>
      </c>
      <c r="C101" s="6">
        <v>444</v>
      </c>
      <c r="D101" s="5" t="s">
        <v>13</v>
      </c>
      <c r="E101" s="5">
        <v>344.53</v>
      </c>
      <c r="F101" s="7">
        <f t="shared" si="3"/>
        <v>152971.31999999998</v>
      </c>
      <c r="G101" s="7">
        <f t="shared" si="4"/>
        <v>29064.550799999997</v>
      </c>
      <c r="H101" s="7">
        <f t="shared" si="5"/>
        <v>182035.87079999998</v>
      </c>
      <c r="I101" s="5" t="s">
        <v>61</v>
      </c>
      <c r="J101" s="5" t="s">
        <v>15</v>
      </c>
      <c r="K101" s="5" t="s">
        <v>110</v>
      </c>
      <c r="L101" s="5" t="s">
        <v>63</v>
      </c>
    </row>
    <row r="102" spans="1:12" x14ac:dyDescent="0.25">
      <c r="A102" s="4">
        <v>46048</v>
      </c>
      <c r="B102" s="5" t="s">
        <v>126</v>
      </c>
      <c r="C102" s="6">
        <v>450</v>
      </c>
      <c r="D102" s="5" t="s">
        <v>13</v>
      </c>
      <c r="E102" s="5">
        <v>157.13999999999999</v>
      </c>
      <c r="F102" s="7">
        <f t="shared" si="3"/>
        <v>70713</v>
      </c>
      <c r="G102" s="7">
        <f t="shared" si="4"/>
        <v>13435.47</v>
      </c>
      <c r="H102" s="7">
        <f t="shared" si="5"/>
        <v>84148.47</v>
      </c>
      <c r="I102" s="5" t="s">
        <v>61</v>
      </c>
      <c r="J102" s="5" t="s">
        <v>15</v>
      </c>
      <c r="K102" s="5" t="s">
        <v>110</v>
      </c>
      <c r="L102" s="5" t="s">
        <v>63</v>
      </c>
    </row>
    <row r="103" spans="1:12" x14ac:dyDescent="0.25">
      <c r="A103" s="4">
        <v>46049</v>
      </c>
      <c r="B103" s="5" t="s">
        <v>127</v>
      </c>
      <c r="C103" s="6">
        <v>1</v>
      </c>
      <c r="D103" s="5" t="s">
        <v>13</v>
      </c>
      <c r="E103" s="5">
        <v>59243.7</v>
      </c>
      <c r="F103" s="7">
        <f t="shared" si="3"/>
        <v>59243.7</v>
      </c>
      <c r="G103" s="7">
        <f t="shared" si="4"/>
        <v>11256.303</v>
      </c>
      <c r="H103" s="7">
        <f t="shared" si="5"/>
        <v>70500.002999999997</v>
      </c>
      <c r="I103" s="5" t="s">
        <v>128</v>
      </c>
      <c r="J103" s="5" t="s">
        <v>15</v>
      </c>
      <c r="K103" s="5" t="s">
        <v>392</v>
      </c>
      <c r="L103" s="5">
        <v>4065476</v>
      </c>
    </row>
    <row r="104" spans="1:12" x14ac:dyDescent="0.25">
      <c r="A104" s="4">
        <v>46051</v>
      </c>
      <c r="B104" s="5" t="s">
        <v>129</v>
      </c>
      <c r="C104" s="6">
        <v>3600</v>
      </c>
      <c r="D104" s="5" t="s">
        <v>130</v>
      </c>
      <c r="E104" s="5">
        <v>42.02</v>
      </c>
      <c r="F104" s="7">
        <f t="shared" si="3"/>
        <v>151272</v>
      </c>
      <c r="G104" s="7">
        <f t="shared" si="4"/>
        <v>28741.68</v>
      </c>
      <c r="H104" s="7">
        <f t="shared" si="5"/>
        <v>180013.68</v>
      </c>
      <c r="I104" s="5" t="s">
        <v>131</v>
      </c>
      <c r="J104" s="5" t="s">
        <v>15</v>
      </c>
      <c r="K104" s="5" t="s">
        <v>132</v>
      </c>
      <c r="L104" s="5">
        <v>4065475</v>
      </c>
    </row>
    <row r="105" spans="1:12" x14ac:dyDescent="0.25">
      <c r="A105" s="4">
        <v>46062</v>
      </c>
      <c r="B105" s="5" t="s">
        <v>133</v>
      </c>
      <c r="C105" s="6">
        <v>7</v>
      </c>
      <c r="D105" s="5" t="s">
        <v>13</v>
      </c>
      <c r="E105" s="5">
        <v>2100.84</v>
      </c>
      <c r="F105" s="7">
        <f t="shared" si="3"/>
        <v>14705.880000000001</v>
      </c>
      <c r="G105" s="7">
        <f t="shared" si="4"/>
        <v>2794.1172000000001</v>
      </c>
      <c r="H105" s="7">
        <f t="shared" si="5"/>
        <v>17499.997200000002</v>
      </c>
      <c r="I105" s="5" t="s">
        <v>101</v>
      </c>
      <c r="J105" s="5" t="s">
        <v>15</v>
      </c>
      <c r="K105" s="5" t="s">
        <v>134</v>
      </c>
      <c r="L105" s="5">
        <v>4065494</v>
      </c>
    </row>
    <row r="106" spans="1:12" x14ac:dyDescent="0.25">
      <c r="A106" s="4">
        <v>46062</v>
      </c>
      <c r="B106" s="5" t="s">
        <v>135</v>
      </c>
      <c r="C106" s="6">
        <v>60</v>
      </c>
      <c r="D106" s="5" t="s">
        <v>13</v>
      </c>
      <c r="E106" s="5">
        <v>155.94</v>
      </c>
      <c r="F106" s="7">
        <f t="shared" si="3"/>
        <v>9356.4</v>
      </c>
      <c r="G106" s="7">
        <f t="shared" si="4"/>
        <v>1777.7159999999999</v>
      </c>
      <c r="H106" s="7">
        <f t="shared" si="5"/>
        <v>11134.116</v>
      </c>
      <c r="I106" s="5" t="s">
        <v>136</v>
      </c>
      <c r="J106" s="5" t="s">
        <v>15</v>
      </c>
      <c r="K106" s="5" t="s">
        <v>392</v>
      </c>
      <c r="L106" s="5">
        <v>4065498</v>
      </c>
    </row>
    <row r="107" spans="1:12" x14ac:dyDescent="0.25">
      <c r="A107" s="4">
        <v>46062</v>
      </c>
      <c r="B107" s="5" t="s">
        <v>137</v>
      </c>
      <c r="C107" s="6">
        <v>220</v>
      </c>
      <c r="D107" s="5" t="s">
        <v>13</v>
      </c>
      <c r="E107" s="5">
        <v>25</v>
      </c>
      <c r="F107" s="7">
        <f t="shared" si="3"/>
        <v>5500</v>
      </c>
      <c r="G107" s="7">
        <f t="shared" si="4"/>
        <v>1045</v>
      </c>
      <c r="H107" s="7">
        <f t="shared" si="5"/>
        <v>6545</v>
      </c>
      <c r="I107" s="5" t="s">
        <v>136</v>
      </c>
      <c r="J107" s="5" t="s">
        <v>15</v>
      </c>
      <c r="K107" s="5" t="s">
        <v>392</v>
      </c>
      <c r="L107" s="5">
        <v>4065498</v>
      </c>
    </row>
    <row r="108" spans="1:12" x14ac:dyDescent="0.25">
      <c r="A108" s="4">
        <v>46071</v>
      </c>
      <c r="B108" s="5" t="s">
        <v>138</v>
      </c>
      <c r="C108" s="6">
        <v>36</v>
      </c>
      <c r="D108" s="5" t="s">
        <v>130</v>
      </c>
      <c r="E108" s="5">
        <v>1063.03</v>
      </c>
      <c r="F108" s="7">
        <f t="shared" si="3"/>
        <v>38269.08</v>
      </c>
      <c r="G108" s="7">
        <f t="shared" si="4"/>
        <v>7271.1252000000004</v>
      </c>
      <c r="H108" s="7">
        <f t="shared" si="5"/>
        <v>45540.205200000004</v>
      </c>
      <c r="I108" s="5" t="s">
        <v>61</v>
      </c>
      <c r="J108" s="5" t="s">
        <v>15</v>
      </c>
      <c r="K108" s="5" t="s">
        <v>139</v>
      </c>
      <c r="L108" s="5" t="s">
        <v>63</v>
      </c>
    </row>
    <row r="109" spans="1:12" x14ac:dyDescent="0.25">
      <c r="A109" s="4">
        <v>46071</v>
      </c>
      <c r="B109" s="5" t="s">
        <v>140</v>
      </c>
      <c r="C109" s="6">
        <v>12</v>
      </c>
      <c r="D109" s="5" t="s">
        <v>130</v>
      </c>
      <c r="E109" s="5">
        <v>568.34</v>
      </c>
      <c r="F109" s="7">
        <f t="shared" si="3"/>
        <v>6820.08</v>
      </c>
      <c r="G109" s="7">
        <f t="shared" si="4"/>
        <v>1295.8152</v>
      </c>
      <c r="H109" s="7">
        <f t="shared" si="5"/>
        <v>8115.8951999999999</v>
      </c>
      <c r="I109" s="5" t="s">
        <v>61</v>
      </c>
      <c r="J109" s="5" t="s">
        <v>15</v>
      </c>
      <c r="K109" s="5" t="s">
        <v>139</v>
      </c>
      <c r="L109" s="5" t="s">
        <v>63</v>
      </c>
    </row>
    <row r="110" spans="1:12" x14ac:dyDescent="0.25">
      <c r="A110" s="4">
        <v>46071</v>
      </c>
      <c r="B110" s="5" t="s">
        <v>141</v>
      </c>
      <c r="C110" s="6">
        <v>48</v>
      </c>
      <c r="D110" s="5" t="s">
        <v>130</v>
      </c>
      <c r="E110" s="5">
        <v>510</v>
      </c>
      <c r="F110" s="7">
        <f t="shared" si="3"/>
        <v>24480</v>
      </c>
      <c r="G110" s="7">
        <f t="shared" si="4"/>
        <v>4651.2</v>
      </c>
      <c r="H110" s="7">
        <f t="shared" si="5"/>
        <v>29131.200000000001</v>
      </c>
      <c r="I110" s="5" t="s">
        <v>61</v>
      </c>
      <c r="J110" s="5" t="s">
        <v>15</v>
      </c>
      <c r="K110" s="5" t="s">
        <v>139</v>
      </c>
      <c r="L110" s="5" t="s">
        <v>63</v>
      </c>
    </row>
    <row r="111" spans="1:12" x14ac:dyDescent="0.25">
      <c r="A111" s="4">
        <v>46071</v>
      </c>
      <c r="B111" s="5" t="s">
        <v>142</v>
      </c>
      <c r="C111" s="6">
        <v>12</v>
      </c>
      <c r="D111" s="5" t="s">
        <v>130</v>
      </c>
      <c r="E111" s="5">
        <v>1386.5</v>
      </c>
      <c r="F111" s="7">
        <f t="shared" si="3"/>
        <v>16638</v>
      </c>
      <c r="G111" s="7">
        <f t="shared" si="4"/>
        <v>3161.2200000000003</v>
      </c>
      <c r="H111" s="7">
        <f t="shared" si="5"/>
        <v>19799.22</v>
      </c>
      <c r="I111" s="5" t="s">
        <v>61</v>
      </c>
      <c r="J111" s="5" t="s">
        <v>15</v>
      </c>
      <c r="K111" s="5" t="s">
        <v>139</v>
      </c>
      <c r="L111" s="5" t="s">
        <v>63</v>
      </c>
    </row>
    <row r="112" spans="1:12" x14ac:dyDescent="0.25">
      <c r="A112" s="4">
        <v>46071</v>
      </c>
      <c r="B112" s="5" t="s">
        <v>143</v>
      </c>
      <c r="C112" s="6">
        <v>156</v>
      </c>
      <c r="D112" s="5" t="s">
        <v>13</v>
      </c>
      <c r="E112" s="5">
        <v>223.39</v>
      </c>
      <c r="F112" s="7">
        <f t="shared" si="3"/>
        <v>34848.839999999997</v>
      </c>
      <c r="G112" s="7">
        <f t="shared" si="4"/>
        <v>6621.2795999999998</v>
      </c>
      <c r="H112" s="7">
        <f t="shared" si="5"/>
        <v>41470.119599999998</v>
      </c>
      <c r="I112" s="5" t="s">
        <v>61</v>
      </c>
      <c r="J112" s="5" t="s">
        <v>15</v>
      </c>
      <c r="K112" s="5" t="s">
        <v>139</v>
      </c>
      <c r="L112" s="5" t="s">
        <v>63</v>
      </c>
    </row>
    <row r="113" spans="1:12" x14ac:dyDescent="0.25">
      <c r="A113" s="4">
        <v>46071</v>
      </c>
      <c r="B113" s="5" t="s">
        <v>144</v>
      </c>
      <c r="C113" s="6">
        <v>8</v>
      </c>
      <c r="D113" s="5" t="s">
        <v>13</v>
      </c>
      <c r="E113" s="5">
        <v>203.36</v>
      </c>
      <c r="F113" s="7">
        <f t="shared" si="3"/>
        <v>1626.88</v>
      </c>
      <c r="G113" s="7">
        <f t="shared" si="4"/>
        <v>309.10720000000003</v>
      </c>
      <c r="H113" s="7">
        <f t="shared" si="5"/>
        <v>1935.9872</v>
      </c>
      <c r="I113" s="5" t="s">
        <v>61</v>
      </c>
      <c r="J113" s="5" t="s">
        <v>15</v>
      </c>
      <c r="K113" s="5" t="s">
        <v>139</v>
      </c>
      <c r="L113" s="5" t="s">
        <v>63</v>
      </c>
    </row>
    <row r="114" spans="1:12" x14ac:dyDescent="0.25">
      <c r="A114" s="4">
        <v>46071</v>
      </c>
      <c r="B114" s="5" t="s">
        <v>145</v>
      </c>
      <c r="C114" s="6">
        <v>24</v>
      </c>
      <c r="D114" s="5" t="s">
        <v>13</v>
      </c>
      <c r="E114" s="5">
        <v>277.31</v>
      </c>
      <c r="F114" s="7">
        <f t="shared" si="3"/>
        <v>6655.4400000000005</v>
      </c>
      <c r="G114" s="7">
        <f t="shared" si="4"/>
        <v>1264.5336000000002</v>
      </c>
      <c r="H114" s="7">
        <f t="shared" si="5"/>
        <v>7919.9736000000012</v>
      </c>
      <c r="I114" s="5" t="s">
        <v>61</v>
      </c>
      <c r="J114" s="5" t="s">
        <v>15</v>
      </c>
      <c r="K114" s="5" t="s">
        <v>139</v>
      </c>
      <c r="L114" s="5" t="s">
        <v>63</v>
      </c>
    </row>
    <row r="115" spans="1:12" x14ac:dyDescent="0.25">
      <c r="A115" s="4">
        <v>46071</v>
      </c>
      <c r="B115" s="5" t="s">
        <v>146</v>
      </c>
      <c r="C115" s="6">
        <v>16</v>
      </c>
      <c r="D115" s="5" t="s">
        <v>13</v>
      </c>
      <c r="E115" s="5">
        <v>129.41</v>
      </c>
      <c r="F115" s="7">
        <f t="shared" si="3"/>
        <v>2070.56</v>
      </c>
      <c r="G115" s="7">
        <f t="shared" si="4"/>
        <v>393.40640000000002</v>
      </c>
      <c r="H115" s="7">
        <f t="shared" si="5"/>
        <v>2463.9663999999998</v>
      </c>
      <c r="I115" s="5" t="s">
        <v>61</v>
      </c>
      <c r="J115" s="5" t="s">
        <v>15</v>
      </c>
      <c r="K115" s="5" t="s">
        <v>139</v>
      </c>
      <c r="L115" s="5" t="s">
        <v>63</v>
      </c>
    </row>
    <row r="116" spans="1:12" x14ac:dyDescent="0.25">
      <c r="A116" s="4">
        <v>46071</v>
      </c>
      <c r="B116" s="5" t="s">
        <v>147</v>
      </c>
      <c r="C116" s="6">
        <v>24</v>
      </c>
      <c r="D116" s="5" t="s">
        <v>13</v>
      </c>
      <c r="E116" s="5">
        <v>647.05999999999995</v>
      </c>
      <c r="F116" s="7">
        <f t="shared" si="3"/>
        <v>15529.439999999999</v>
      </c>
      <c r="G116" s="7">
        <f t="shared" si="4"/>
        <v>2950.5935999999997</v>
      </c>
      <c r="H116" s="7">
        <f t="shared" si="5"/>
        <v>18480.033599999999</v>
      </c>
      <c r="I116" s="5" t="s">
        <v>61</v>
      </c>
      <c r="J116" s="5" t="s">
        <v>15</v>
      </c>
      <c r="K116" s="5" t="s">
        <v>139</v>
      </c>
      <c r="L116" s="5" t="s">
        <v>63</v>
      </c>
    </row>
    <row r="117" spans="1:12" x14ac:dyDescent="0.25">
      <c r="A117" s="4">
        <v>46071</v>
      </c>
      <c r="B117" s="5" t="s">
        <v>148</v>
      </c>
      <c r="C117" s="6">
        <v>8</v>
      </c>
      <c r="D117" s="5" t="s">
        <v>13</v>
      </c>
      <c r="E117" s="5">
        <v>1016.81</v>
      </c>
      <c r="F117" s="7">
        <f t="shared" si="3"/>
        <v>8134.48</v>
      </c>
      <c r="G117" s="7">
        <f t="shared" si="4"/>
        <v>1545.5511999999999</v>
      </c>
      <c r="H117" s="7">
        <f t="shared" si="5"/>
        <v>9680.0311999999994</v>
      </c>
      <c r="I117" s="5" t="s">
        <v>61</v>
      </c>
      <c r="J117" s="5" t="s">
        <v>15</v>
      </c>
      <c r="K117" s="5" t="s">
        <v>139</v>
      </c>
      <c r="L117" s="5" t="s">
        <v>63</v>
      </c>
    </row>
    <row r="118" spans="1:12" x14ac:dyDescent="0.25">
      <c r="A118" s="4">
        <v>46071</v>
      </c>
      <c r="B118" s="5" t="s">
        <v>149</v>
      </c>
      <c r="C118" s="6">
        <v>8</v>
      </c>
      <c r="D118" s="5" t="s">
        <v>13</v>
      </c>
      <c r="E118" s="5">
        <v>363.03</v>
      </c>
      <c r="F118" s="7">
        <f t="shared" si="3"/>
        <v>2904.24</v>
      </c>
      <c r="G118" s="7">
        <f t="shared" si="4"/>
        <v>551.80559999999991</v>
      </c>
      <c r="H118" s="7">
        <f t="shared" si="5"/>
        <v>3456.0455999999995</v>
      </c>
      <c r="I118" s="5" t="s">
        <v>61</v>
      </c>
      <c r="J118" s="5" t="s">
        <v>15</v>
      </c>
      <c r="K118" s="5" t="s">
        <v>139</v>
      </c>
      <c r="L118" s="5" t="s">
        <v>63</v>
      </c>
    </row>
    <row r="119" spans="1:12" x14ac:dyDescent="0.25">
      <c r="A119" s="4">
        <v>46071</v>
      </c>
      <c r="B119" s="5" t="s">
        <v>150</v>
      </c>
      <c r="C119" s="6">
        <v>8</v>
      </c>
      <c r="D119" s="5" t="s">
        <v>13</v>
      </c>
      <c r="E119" s="5">
        <v>360.5</v>
      </c>
      <c r="F119" s="7">
        <f t="shared" si="3"/>
        <v>2884</v>
      </c>
      <c r="G119" s="7">
        <f t="shared" si="4"/>
        <v>547.96</v>
      </c>
      <c r="H119" s="7">
        <f t="shared" si="5"/>
        <v>3431.96</v>
      </c>
      <c r="I119" s="5" t="s">
        <v>61</v>
      </c>
      <c r="J119" s="5" t="s">
        <v>15</v>
      </c>
      <c r="K119" s="5" t="s">
        <v>139</v>
      </c>
      <c r="L119" s="5" t="s">
        <v>63</v>
      </c>
    </row>
    <row r="120" spans="1:12" x14ac:dyDescent="0.25">
      <c r="A120" s="4">
        <v>46071</v>
      </c>
      <c r="B120" s="5" t="s">
        <v>151</v>
      </c>
      <c r="C120" s="6">
        <v>16</v>
      </c>
      <c r="D120" s="5" t="s">
        <v>13</v>
      </c>
      <c r="E120" s="5">
        <v>221.85</v>
      </c>
      <c r="F120" s="7">
        <f t="shared" si="3"/>
        <v>3549.6</v>
      </c>
      <c r="G120" s="7">
        <f t="shared" si="4"/>
        <v>674.42399999999998</v>
      </c>
      <c r="H120" s="7">
        <f t="shared" si="5"/>
        <v>4224.0239999999994</v>
      </c>
      <c r="I120" s="5" t="s">
        <v>61</v>
      </c>
      <c r="J120" s="5" t="s">
        <v>15</v>
      </c>
      <c r="K120" s="5" t="s">
        <v>139</v>
      </c>
      <c r="L120" s="5" t="s">
        <v>63</v>
      </c>
    </row>
    <row r="121" spans="1:12" x14ac:dyDescent="0.25">
      <c r="A121" s="4">
        <v>46071</v>
      </c>
      <c r="B121" s="5" t="s">
        <v>152</v>
      </c>
      <c r="C121" s="6">
        <v>32</v>
      </c>
      <c r="D121" s="5" t="s">
        <v>13</v>
      </c>
      <c r="E121" s="5">
        <v>138.66</v>
      </c>
      <c r="F121" s="7">
        <f t="shared" si="3"/>
        <v>4437.12</v>
      </c>
      <c r="G121" s="7">
        <f t="shared" si="4"/>
        <v>843.05279999999993</v>
      </c>
      <c r="H121" s="7">
        <f t="shared" si="5"/>
        <v>5280.1728000000003</v>
      </c>
      <c r="I121" s="5" t="s">
        <v>61</v>
      </c>
      <c r="J121" s="5" t="s">
        <v>15</v>
      </c>
      <c r="K121" s="5" t="s">
        <v>139</v>
      </c>
      <c r="L121" s="5" t="s">
        <v>63</v>
      </c>
    </row>
    <row r="122" spans="1:12" x14ac:dyDescent="0.25">
      <c r="A122" s="4">
        <v>46071</v>
      </c>
      <c r="B122" s="5" t="s">
        <v>153</v>
      </c>
      <c r="C122" s="6">
        <v>112</v>
      </c>
      <c r="D122" s="5" t="s">
        <v>13</v>
      </c>
      <c r="E122" s="5">
        <v>138.66</v>
      </c>
      <c r="F122" s="7">
        <f t="shared" si="3"/>
        <v>15529.92</v>
      </c>
      <c r="G122" s="7">
        <f t="shared" si="4"/>
        <v>2950.6848</v>
      </c>
      <c r="H122" s="7">
        <f t="shared" si="5"/>
        <v>18480.604800000001</v>
      </c>
      <c r="I122" s="5" t="s">
        <v>61</v>
      </c>
      <c r="J122" s="5" t="s">
        <v>15</v>
      </c>
      <c r="K122" s="5" t="s">
        <v>139</v>
      </c>
      <c r="L122" s="5" t="s">
        <v>63</v>
      </c>
    </row>
    <row r="123" spans="1:12" x14ac:dyDescent="0.25">
      <c r="A123" s="4">
        <v>46071</v>
      </c>
      <c r="B123" s="5" t="s">
        <v>154</v>
      </c>
      <c r="C123" s="6">
        <v>60</v>
      </c>
      <c r="D123" s="5" t="s">
        <v>13</v>
      </c>
      <c r="E123" s="5">
        <v>295.8</v>
      </c>
      <c r="F123" s="7">
        <f t="shared" si="3"/>
        <v>17748</v>
      </c>
      <c r="G123" s="7">
        <f t="shared" si="4"/>
        <v>3372.12</v>
      </c>
      <c r="H123" s="7">
        <f t="shared" si="5"/>
        <v>21120.12</v>
      </c>
      <c r="I123" s="5" t="s">
        <v>61</v>
      </c>
      <c r="J123" s="5" t="s">
        <v>15</v>
      </c>
      <c r="K123" s="5" t="s">
        <v>139</v>
      </c>
      <c r="L123" s="5" t="s">
        <v>63</v>
      </c>
    </row>
    <row r="124" spans="1:12" x14ac:dyDescent="0.25">
      <c r="A124" s="4">
        <v>46071</v>
      </c>
      <c r="B124" s="5" t="s">
        <v>155</v>
      </c>
      <c r="C124" s="6">
        <v>24</v>
      </c>
      <c r="D124" s="5" t="s">
        <v>13</v>
      </c>
      <c r="E124" s="5">
        <v>138.66</v>
      </c>
      <c r="F124" s="7">
        <f t="shared" si="3"/>
        <v>3327.84</v>
      </c>
      <c r="G124" s="7">
        <f t="shared" si="4"/>
        <v>632.28960000000006</v>
      </c>
      <c r="H124" s="7">
        <f t="shared" si="5"/>
        <v>3960.1296000000002</v>
      </c>
      <c r="I124" s="5" t="s">
        <v>61</v>
      </c>
      <c r="J124" s="5" t="s">
        <v>15</v>
      </c>
      <c r="K124" s="5" t="s">
        <v>139</v>
      </c>
      <c r="L124" s="5" t="s">
        <v>63</v>
      </c>
    </row>
    <row r="125" spans="1:12" x14ac:dyDescent="0.25">
      <c r="A125" s="4">
        <v>46071</v>
      </c>
      <c r="B125" s="5" t="s">
        <v>156</v>
      </c>
      <c r="C125" s="6">
        <v>160</v>
      </c>
      <c r="D125" s="5" t="s">
        <v>13</v>
      </c>
      <c r="E125" s="5">
        <v>205.88</v>
      </c>
      <c r="F125" s="7">
        <f t="shared" si="3"/>
        <v>32940.800000000003</v>
      </c>
      <c r="G125" s="7">
        <f t="shared" si="4"/>
        <v>6258.7520000000004</v>
      </c>
      <c r="H125" s="7">
        <f t="shared" si="5"/>
        <v>39199.552000000003</v>
      </c>
      <c r="I125" s="5" t="s">
        <v>61</v>
      </c>
      <c r="J125" s="5" t="s">
        <v>15</v>
      </c>
      <c r="K125" s="5" t="s">
        <v>139</v>
      </c>
      <c r="L125" s="5" t="s">
        <v>63</v>
      </c>
    </row>
    <row r="126" spans="1:12" x14ac:dyDescent="0.25">
      <c r="A126" s="4">
        <v>46071</v>
      </c>
      <c r="B126" s="5" t="s">
        <v>157</v>
      </c>
      <c r="C126" s="6">
        <v>48</v>
      </c>
      <c r="D126" s="5" t="s">
        <v>13</v>
      </c>
      <c r="E126" s="5">
        <v>290.27999999999997</v>
      </c>
      <c r="F126" s="7">
        <f t="shared" si="3"/>
        <v>13933.439999999999</v>
      </c>
      <c r="G126" s="7">
        <f t="shared" si="4"/>
        <v>2647.3535999999999</v>
      </c>
      <c r="H126" s="7">
        <f t="shared" si="5"/>
        <v>16580.793599999997</v>
      </c>
      <c r="I126" s="5" t="s">
        <v>61</v>
      </c>
      <c r="J126" s="5" t="s">
        <v>15</v>
      </c>
      <c r="K126" s="5" t="s">
        <v>139</v>
      </c>
      <c r="L126" s="5" t="s">
        <v>63</v>
      </c>
    </row>
    <row r="127" spans="1:12" x14ac:dyDescent="0.25">
      <c r="A127" s="4">
        <v>46071</v>
      </c>
      <c r="B127" s="5" t="s">
        <v>158</v>
      </c>
      <c r="C127" s="6">
        <v>36</v>
      </c>
      <c r="D127" s="5" t="s">
        <v>13</v>
      </c>
      <c r="E127" s="5">
        <v>323.52999999999997</v>
      </c>
      <c r="F127" s="7">
        <f t="shared" si="3"/>
        <v>11647.079999999998</v>
      </c>
      <c r="G127" s="7">
        <f t="shared" si="4"/>
        <v>2212.9451999999997</v>
      </c>
      <c r="H127" s="7">
        <f t="shared" si="5"/>
        <v>13860.025199999998</v>
      </c>
      <c r="I127" s="5" t="s">
        <v>61</v>
      </c>
      <c r="J127" s="5" t="s">
        <v>15</v>
      </c>
      <c r="K127" s="5" t="s">
        <v>139</v>
      </c>
      <c r="L127" s="5" t="s">
        <v>63</v>
      </c>
    </row>
    <row r="128" spans="1:12" x14ac:dyDescent="0.25">
      <c r="A128" s="4">
        <v>46071</v>
      </c>
      <c r="B128" s="5" t="s">
        <v>159</v>
      </c>
      <c r="C128" s="6">
        <v>16</v>
      </c>
      <c r="D128" s="5" t="s">
        <v>13</v>
      </c>
      <c r="E128" s="5">
        <v>219.54</v>
      </c>
      <c r="F128" s="7">
        <f t="shared" si="3"/>
        <v>3512.64</v>
      </c>
      <c r="G128" s="7">
        <f t="shared" si="4"/>
        <v>667.40160000000003</v>
      </c>
      <c r="H128" s="7">
        <f t="shared" si="5"/>
        <v>4180.0415999999996</v>
      </c>
      <c r="I128" s="5" t="s">
        <v>61</v>
      </c>
      <c r="J128" s="5" t="s">
        <v>15</v>
      </c>
      <c r="K128" s="5" t="s">
        <v>139</v>
      </c>
      <c r="L128" s="5" t="s">
        <v>63</v>
      </c>
    </row>
    <row r="129" spans="1:12" x14ac:dyDescent="0.25">
      <c r="A129" s="4">
        <v>46071</v>
      </c>
      <c r="B129" s="5" t="s">
        <v>160</v>
      </c>
      <c r="C129" s="6">
        <v>16</v>
      </c>
      <c r="D129" s="5" t="s">
        <v>13</v>
      </c>
      <c r="E129" s="5">
        <v>366.05</v>
      </c>
      <c r="F129" s="7">
        <f t="shared" si="3"/>
        <v>5856.8</v>
      </c>
      <c r="G129" s="7">
        <f t="shared" si="4"/>
        <v>1112.7920000000001</v>
      </c>
      <c r="H129" s="7">
        <f t="shared" si="5"/>
        <v>6969.5920000000006</v>
      </c>
      <c r="I129" s="5" t="s">
        <v>61</v>
      </c>
      <c r="J129" s="5" t="s">
        <v>15</v>
      </c>
      <c r="K129" s="5" t="s">
        <v>139</v>
      </c>
      <c r="L129" s="5" t="s">
        <v>63</v>
      </c>
    </row>
    <row r="130" spans="1:12" x14ac:dyDescent="0.25">
      <c r="A130" s="4">
        <v>46071</v>
      </c>
      <c r="B130" s="5" t="s">
        <v>161</v>
      </c>
      <c r="C130" s="6">
        <v>16</v>
      </c>
      <c r="D130" s="5" t="s">
        <v>13</v>
      </c>
      <c r="E130" s="5">
        <v>1016.81</v>
      </c>
      <c r="F130" s="7">
        <f t="shared" ref="F130:F193" si="6">C130*E130</f>
        <v>16268.96</v>
      </c>
      <c r="G130" s="7">
        <f t="shared" ref="G130:G193" si="7">F130*0.19</f>
        <v>3091.1023999999998</v>
      </c>
      <c r="H130" s="7">
        <f t="shared" ref="H130:H193" si="8">F130+G130</f>
        <v>19360.062399999999</v>
      </c>
      <c r="I130" s="5" t="s">
        <v>61</v>
      </c>
      <c r="J130" s="5" t="s">
        <v>15</v>
      </c>
      <c r="K130" s="5" t="s">
        <v>139</v>
      </c>
      <c r="L130" s="5" t="s">
        <v>63</v>
      </c>
    </row>
    <row r="131" spans="1:12" x14ac:dyDescent="0.25">
      <c r="A131" s="4">
        <v>46071</v>
      </c>
      <c r="B131" s="5" t="s">
        <v>162</v>
      </c>
      <c r="C131" s="6">
        <v>200</v>
      </c>
      <c r="D131" s="5" t="s">
        <v>13</v>
      </c>
      <c r="E131" s="5">
        <v>2.52</v>
      </c>
      <c r="F131" s="7">
        <f t="shared" si="6"/>
        <v>504</v>
      </c>
      <c r="G131" s="7">
        <f t="shared" si="7"/>
        <v>95.76</v>
      </c>
      <c r="H131" s="7">
        <f t="shared" si="8"/>
        <v>599.76</v>
      </c>
      <c r="I131" s="5" t="s">
        <v>61</v>
      </c>
      <c r="J131" s="5" t="s">
        <v>15</v>
      </c>
      <c r="K131" s="5" t="s">
        <v>139</v>
      </c>
      <c r="L131" s="5" t="s">
        <v>63</v>
      </c>
    </row>
    <row r="132" spans="1:12" s="31" customFormat="1" x14ac:dyDescent="0.25">
      <c r="A132" s="27">
        <v>46075</v>
      </c>
      <c r="B132" s="28" t="s">
        <v>163</v>
      </c>
      <c r="C132" s="29">
        <v>30.1</v>
      </c>
      <c r="D132" s="28" t="s">
        <v>164</v>
      </c>
      <c r="E132" s="28">
        <v>6944</v>
      </c>
      <c r="F132" s="30">
        <f t="shared" si="6"/>
        <v>209014.40000000002</v>
      </c>
      <c r="G132" s="30">
        <f t="shared" si="7"/>
        <v>39712.736000000004</v>
      </c>
      <c r="H132" s="30">
        <f t="shared" si="8"/>
        <v>248727.13600000003</v>
      </c>
      <c r="I132" s="28" t="s">
        <v>165</v>
      </c>
      <c r="J132" s="28" t="s">
        <v>15</v>
      </c>
      <c r="K132" s="28" t="s">
        <v>426</v>
      </c>
      <c r="L132" s="28">
        <v>5759328</v>
      </c>
    </row>
    <row r="133" spans="1:12" x14ac:dyDescent="0.25">
      <c r="A133" s="4">
        <v>46050</v>
      </c>
      <c r="B133" s="5" t="s">
        <v>166</v>
      </c>
      <c r="C133" s="6">
        <v>1</v>
      </c>
      <c r="D133" s="5" t="s">
        <v>13</v>
      </c>
      <c r="E133" s="5">
        <v>5050</v>
      </c>
      <c r="F133" s="7">
        <f t="shared" si="6"/>
        <v>5050</v>
      </c>
      <c r="G133" s="7">
        <f t="shared" si="7"/>
        <v>959.5</v>
      </c>
      <c r="H133" s="7">
        <f t="shared" si="8"/>
        <v>6009.5</v>
      </c>
      <c r="I133" s="5" t="s">
        <v>167</v>
      </c>
      <c r="J133" s="5" t="s">
        <v>15</v>
      </c>
      <c r="K133" s="5" t="s">
        <v>393</v>
      </c>
      <c r="L133" s="5">
        <v>4065490</v>
      </c>
    </row>
    <row r="134" spans="1:12" x14ac:dyDescent="0.25">
      <c r="A134" s="4">
        <v>46050</v>
      </c>
      <c r="B134" s="5" t="s">
        <v>168</v>
      </c>
      <c r="C134" s="6">
        <v>36</v>
      </c>
      <c r="D134" s="5" t="s">
        <v>13</v>
      </c>
      <c r="E134" s="5">
        <v>45</v>
      </c>
      <c r="F134" s="7">
        <f t="shared" si="6"/>
        <v>1620</v>
      </c>
      <c r="G134" s="7">
        <f t="shared" si="7"/>
        <v>307.8</v>
      </c>
      <c r="H134" s="7">
        <f t="shared" si="8"/>
        <v>1927.8</v>
      </c>
      <c r="I134" s="5" t="s">
        <v>167</v>
      </c>
      <c r="J134" s="5" t="s">
        <v>15</v>
      </c>
      <c r="K134" s="5" t="s">
        <v>393</v>
      </c>
      <c r="L134" s="5">
        <v>4065490</v>
      </c>
    </row>
    <row r="135" spans="1:12" x14ac:dyDescent="0.25">
      <c r="A135" s="4">
        <v>46050</v>
      </c>
      <c r="B135" s="5" t="s">
        <v>169</v>
      </c>
      <c r="C135" s="6">
        <v>5</v>
      </c>
      <c r="D135" s="5" t="s">
        <v>13</v>
      </c>
      <c r="E135" s="5">
        <v>117</v>
      </c>
      <c r="F135" s="7">
        <f t="shared" si="6"/>
        <v>585</v>
      </c>
      <c r="G135" s="7">
        <f t="shared" si="7"/>
        <v>111.15</v>
      </c>
      <c r="H135" s="7">
        <f t="shared" si="8"/>
        <v>696.15</v>
      </c>
      <c r="I135" s="5" t="s">
        <v>167</v>
      </c>
      <c r="J135" s="5" t="s">
        <v>15</v>
      </c>
      <c r="K135" s="5" t="s">
        <v>393</v>
      </c>
      <c r="L135" s="5">
        <v>4065490</v>
      </c>
    </row>
    <row r="136" spans="1:12" x14ac:dyDescent="0.25">
      <c r="A136" s="4">
        <v>46050</v>
      </c>
      <c r="B136" s="5" t="s">
        <v>170</v>
      </c>
      <c r="C136" s="6">
        <v>5</v>
      </c>
      <c r="D136" s="5" t="s">
        <v>13</v>
      </c>
      <c r="E136" s="5">
        <v>117</v>
      </c>
      <c r="F136" s="7">
        <f t="shared" si="6"/>
        <v>585</v>
      </c>
      <c r="G136" s="7">
        <f t="shared" si="7"/>
        <v>111.15</v>
      </c>
      <c r="H136" s="7">
        <f t="shared" si="8"/>
        <v>696.15</v>
      </c>
      <c r="I136" s="5" t="s">
        <v>167</v>
      </c>
      <c r="J136" s="5" t="s">
        <v>15</v>
      </c>
      <c r="K136" s="5" t="s">
        <v>393</v>
      </c>
      <c r="L136" s="5">
        <v>4065490</v>
      </c>
    </row>
    <row r="137" spans="1:12" x14ac:dyDescent="0.25">
      <c r="A137" s="4">
        <v>46050</v>
      </c>
      <c r="B137" s="5" t="s">
        <v>171</v>
      </c>
      <c r="C137" s="6">
        <v>4</v>
      </c>
      <c r="D137" s="5" t="s">
        <v>13</v>
      </c>
      <c r="E137" s="5">
        <v>1415</v>
      </c>
      <c r="F137" s="7">
        <f t="shared" si="6"/>
        <v>5660</v>
      </c>
      <c r="G137" s="7">
        <f t="shared" si="7"/>
        <v>1075.4000000000001</v>
      </c>
      <c r="H137" s="7">
        <f t="shared" si="8"/>
        <v>6735.4</v>
      </c>
      <c r="I137" s="5" t="s">
        <v>167</v>
      </c>
      <c r="J137" s="5" t="s">
        <v>15</v>
      </c>
      <c r="K137" s="5" t="s">
        <v>393</v>
      </c>
      <c r="L137" s="5">
        <v>4065490</v>
      </c>
    </row>
    <row r="138" spans="1:12" x14ac:dyDescent="0.25">
      <c r="A138" s="4">
        <v>46050</v>
      </c>
      <c r="B138" s="5" t="s">
        <v>172</v>
      </c>
      <c r="C138" s="6">
        <v>1</v>
      </c>
      <c r="D138" s="5" t="s">
        <v>13</v>
      </c>
      <c r="E138" s="5">
        <v>21000</v>
      </c>
      <c r="F138" s="7">
        <f t="shared" si="6"/>
        <v>21000</v>
      </c>
      <c r="G138" s="7">
        <f t="shared" si="7"/>
        <v>3990</v>
      </c>
      <c r="H138" s="7">
        <f t="shared" si="8"/>
        <v>24990</v>
      </c>
      <c r="I138" s="5" t="s">
        <v>167</v>
      </c>
      <c r="J138" s="5" t="s">
        <v>15</v>
      </c>
      <c r="K138" s="5" t="s">
        <v>393</v>
      </c>
      <c r="L138" s="5">
        <v>4065490</v>
      </c>
    </row>
    <row r="139" spans="1:12" x14ac:dyDescent="0.25">
      <c r="A139" s="4">
        <v>46050</v>
      </c>
      <c r="B139" s="5" t="s">
        <v>173</v>
      </c>
      <c r="C139" s="6">
        <v>4</v>
      </c>
      <c r="D139" s="5" t="s">
        <v>13</v>
      </c>
      <c r="E139" s="5">
        <v>695</v>
      </c>
      <c r="F139" s="7">
        <f t="shared" si="6"/>
        <v>2780</v>
      </c>
      <c r="G139" s="7">
        <f t="shared" si="7"/>
        <v>528.20000000000005</v>
      </c>
      <c r="H139" s="7">
        <f t="shared" si="8"/>
        <v>3308.2</v>
      </c>
      <c r="I139" s="5" t="s">
        <v>167</v>
      </c>
      <c r="J139" s="5" t="s">
        <v>15</v>
      </c>
      <c r="K139" s="5" t="s">
        <v>393</v>
      </c>
      <c r="L139" s="5">
        <v>4065490</v>
      </c>
    </row>
    <row r="140" spans="1:12" x14ac:dyDescent="0.25">
      <c r="A140" s="4">
        <v>46050</v>
      </c>
      <c r="B140" s="5" t="s">
        <v>174</v>
      </c>
      <c r="C140" s="6">
        <v>2</v>
      </c>
      <c r="D140" s="5" t="s">
        <v>13</v>
      </c>
      <c r="E140" s="5">
        <v>128</v>
      </c>
      <c r="F140" s="7">
        <f t="shared" si="6"/>
        <v>256</v>
      </c>
      <c r="G140" s="7">
        <f t="shared" si="7"/>
        <v>48.64</v>
      </c>
      <c r="H140" s="7">
        <f t="shared" si="8"/>
        <v>304.64</v>
      </c>
      <c r="I140" s="5" t="s">
        <v>167</v>
      </c>
      <c r="J140" s="5" t="s">
        <v>15</v>
      </c>
      <c r="K140" s="5" t="s">
        <v>393</v>
      </c>
      <c r="L140" s="5">
        <v>4065490</v>
      </c>
    </row>
    <row r="141" spans="1:12" x14ac:dyDescent="0.25">
      <c r="A141" s="4">
        <v>46050</v>
      </c>
      <c r="B141" s="5" t="s">
        <v>175</v>
      </c>
      <c r="C141" s="6">
        <v>2</v>
      </c>
      <c r="D141" s="5" t="s">
        <v>13</v>
      </c>
      <c r="E141" s="5">
        <v>128</v>
      </c>
      <c r="F141" s="7">
        <f t="shared" si="6"/>
        <v>256</v>
      </c>
      <c r="G141" s="7">
        <f t="shared" si="7"/>
        <v>48.64</v>
      </c>
      <c r="H141" s="7">
        <f t="shared" si="8"/>
        <v>304.64</v>
      </c>
      <c r="I141" s="5" t="s">
        <v>167</v>
      </c>
      <c r="J141" s="5" t="s">
        <v>15</v>
      </c>
      <c r="K141" s="5" t="s">
        <v>393</v>
      </c>
      <c r="L141" s="5">
        <v>4065490</v>
      </c>
    </row>
    <row r="142" spans="1:12" x14ac:dyDescent="0.25">
      <c r="A142" s="4">
        <v>46050</v>
      </c>
      <c r="B142" s="5" t="s">
        <v>176</v>
      </c>
      <c r="C142" s="6">
        <v>20</v>
      </c>
      <c r="D142" s="5" t="s">
        <v>13</v>
      </c>
      <c r="E142" s="5">
        <v>40</v>
      </c>
      <c r="F142" s="7">
        <f t="shared" si="6"/>
        <v>800</v>
      </c>
      <c r="G142" s="7">
        <f t="shared" si="7"/>
        <v>152</v>
      </c>
      <c r="H142" s="7">
        <f t="shared" si="8"/>
        <v>952</v>
      </c>
      <c r="I142" s="5" t="s">
        <v>167</v>
      </c>
      <c r="J142" s="5" t="s">
        <v>15</v>
      </c>
      <c r="K142" s="5" t="s">
        <v>393</v>
      </c>
      <c r="L142" s="5">
        <v>4065490</v>
      </c>
    </row>
    <row r="143" spans="1:12" x14ac:dyDescent="0.25">
      <c r="A143" s="4">
        <v>46056</v>
      </c>
      <c r="B143" s="5" t="s">
        <v>177</v>
      </c>
      <c r="C143" s="6">
        <v>1</v>
      </c>
      <c r="D143" s="5" t="s">
        <v>13</v>
      </c>
      <c r="E143" s="5">
        <v>89250</v>
      </c>
      <c r="F143" s="7">
        <f t="shared" si="6"/>
        <v>89250</v>
      </c>
      <c r="G143" s="7">
        <f t="shared" si="7"/>
        <v>16957.5</v>
      </c>
      <c r="H143" s="7">
        <f t="shared" si="8"/>
        <v>106207.5</v>
      </c>
      <c r="I143" s="5" t="s">
        <v>178</v>
      </c>
      <c r="J143" s="5" t="s">
        <v>15</v>
      </c>
      <c r="K143" s="5" t="s">
        <v>394</v>
      </c>
      <c r="L143" s="5">
        <v>4065492</v>
      </c>
    </row>
    <row r="144" spans="1:12" x14ac:dyDescent="0.25">
      <c r="A144" s="4">
        <v>46056</v>
      </c>
      <c r="B144" s="5" t="s">
        <v>179</v>
      </c>
      <c r="C144" s="6">
        <v>2</v>
      </c>
      <c r="D144" s="5" t="s">
        <v>13</v>
      </c>
      <c r="E144" s="5">
        <v>18000</v>
      </c>
      <c r="F144" s="7">
        <f t="shared" si="6"/>
        <v>36000</v>
      </c>
      <c r="G144" s="7">
        <f t="shared" si="7"/>
        <v>6840</v>
      </c>
      <c r="H144" s="7">
        <f t="shared" si="8"/>
        <v>42840</v>
      </c>
      <c r="I144" s="5" t="s">
        <v>178</v>
      </c>
      <c r="J144" s="5" t="s">
        <v>15</v>
      </c>
      <c r="K144" s="5" t="s">
        <v>394</v>
      </c>
      <c r="L144" s="5">
        <v>4065492</v>
      </c>
    </row>
    <row r="145" spans="1:12" x14ac:dyDescent="0.25">
      <c r="A145" s="4">
        <v>46056</v>
      </c>
      <c r="B145" s="5" t="s">
        <v>180</v>
      </c>
      <c r="C145" s="6">
        <v>1</v>
      </c>
      <c r="D145" s="5" t="s">
        <v>13</v>
      </c>
      <c r="E145" s="5">
        <v>16000</v>
      </c>
      <c r="F145" s="7">
        <f t="shared" si="6"/>
        <v>16000</v>
      </c>
      <c r="G145" s="7">
        <f t="shared" si="7"/>
        <v>3040</v>
      </c>
      <c r="H145" s="7">
        <f t="shared" si="8"/>
        <v>19040</v>
      </c>
      <c r="I145" s="5" t="s">
        <v>178</v>
      </c>
      <c r="J145" s="5" t="s">
        <v>15</v>
      </c>
      <c r="K145" s="5" t="s">
        <v>394</v>
      </c>
      <c r="L145" s="5">
        <v>4065492</v>
      </c>
    </row>
    <row r="146" spans="1:12" x14ac:dyDescent="0.25">
      <c r="A146" s="4">
        <v>46056</v>
      </c>
      <c r="B146" s="5" t="s">
        <v>181</v>
      </c>
      <c r="C146" s="6">
        <v>2</v>
      </c>
      <c r="D146" s="5" t="s">
        <v>13</v>
      </c>
      <c r="E146" s="5">
        <v>20000</v>
      </c>
      <c r="F146" s="7">
        <f t="shared" si="6"/>
        <v>40000</v>
      </c>
      <c r="G146" s="7">
        <f t="shared" si="7"/>
        <v>7600</v>
      </c>
      <c r="H146" s="7">
        <f t="shared" si="8"/>
        <v>47600</v>
      </c>
      <c r="I146" s="5" t="s">
        <v>178</v>
      </c>
      <c r="J146" s="5" t="s">
        <v>15</v>
      </c>
      <c r="K146" s="5" t="s">
        <v>394</v>
      </c>
      <c r="L146" s="5">
        <v>4065492</v>
      </c>
    </row>
    <row r="147" spans="1:12" x14ac:dyDescent="0.25">
      <c r="A147" s="4">
        <v>46097</v>
      </c>
      <c r="B147" s="5" t="s">
        <v>182</v>
      </c>
      <c r="C147" s="6">
        <v>75</v>
      </c>
      <c r="D147" s="5" t="s">
        <v>13</v>
      </c>
      <c r="E147" s="5">
        <v>33613.449999999997</v>
      </c>
      <c r="F147" s="7">
        <f t="shared" si="6"/>
        <v>2521008.75</v>
      </c>
      <c r="G147" s="7">
        <f t="shared" si="7"/>
        <v>478991.66249999998</v>
      </c>
      <c r="H147" s="7">
        <f t="shared" si="8"/>
        <v>3000000.4125000001</v>
      </c>
      <c r="I147" s="5" t="s">
        <v>61</v>
      </c>
      <c r="J147" s="5" t="s">
        <v>15</v>
      </c>
      <c r="K147" s="5" t="s">
        <v>183</v>
      </c>
      <c r="L147" s="5">
        <v>4065411</v>
      </c>
    </row>
    <row r="148" spans="1:12" x14ac:dyDescent="0.25">
      <c r="A148" s="4">
        <v>46097</v>
      </c>
      <c r="B148" s="5" t="s">
        <v>184</v>
      </c>
      <c r="C148" s="6">
        <v>17</v>
      </c>
      <c r="D148" s="5" t="s">
        <v>13</v>
      </c>
      <c r="E148" s="5">
        <v>14109.24</v>
      </c>
      <c r="F148" s="7">
        <f t="shared" si="6"/>
        <v>239857.08</v>
      </c>
      <c r="G148" s="7">
        <f t="shared" si="7"/>
        <v>45572.845199999996</v>
      </c>
      <c r="H148" s="7">
        <f t="shared" si="8"/>
        <v>285429.9252</v>
      </c>
      <c r="I148" s="5" t="s">
        <v>61</v>
      </c>
      <c r="J148" s="5" t="s">
        <v>15</v>
      </c>
      <c r="K148" s="5" t="s">
        <v>183</v>
      </c>
      <c r="L148" s="5">
        <v>4065411</v>
      </c>
    </row>
    <row r="149" spans="1:12" x14ac:dyDescent="0.25">
      <c r="A149" s="4">
        <v>46097</v>
      </c>
      <c r="B149" s="5" t="s">
        <v>185</v>
      </c>
      <c r="C149" s="6">
        <v>78</v>
      </c>
      <c r="D149" s="5" t="s">
        <v>13</v>
      </c>
      <c r="E149" s="5">
        <v>17886.55</v>
      </c>
      <c r="F149" s="7">
        <f t="shared" si="6"/>
        <v>1395150.9</v>
      </c>
      <c r="G149" s="7">
        <f t="shared" si="7"/>
        <v>265078.67099999997</v>
      </c>
      <c r="H149" s="7">
        <f t="shared" si="8"/>
        <v>1660229.571</v>
      </c>
      <c r="I149" s="5" t="s">
        <v>61</v>
      </c>
      <c r="J149" s="5" t="s">
        <v>15</v>
      </c>
      <c r="K149" s="5" t="s">
        <v>183</v>
      </c>
      <c r="L149" s="5">
        <v>4065411</v>
      </c>
    </row>
    <row r="150" spans="1:12" x14ac:dyDescent="0.25">
      <c r="A150" s="4">
        <v>46097</v>
      </c>
      <c r="B150" s="5" t="s">
        <v>186</v>
      </c>
      <c r="C150" s="6">
        <v>8</v>
      </c>
      <c r="D150" s="5" t="s">
        <v>13</v>
      </c>
      <c r="E150" s="5">
        <v>21163.87</v>
      </c>
      <c r="F150" s="7">
        <f t="shared" si="6"/>
        <v>169310.96</v>
      </c>
      <c r="G150" s="7">
        <f t="shared" si="7"/>
        <v>32169.082399999999</v>
      </c>
      <c r="H150" s="7">
        <f t="shared" si="8"/>
        <v>201480.04239999998</v>
      </c>
      <c r="I150" s="5" t="s">
        <v>61</v>
      </c>
      <c r="J150" s="5" t="s">
        <v>15</v>
      </c>
      <c r="K150" s="5" t="s">
        <v>183</v>
      </c>
      <c r="L150" s="5">
        <v>4065411</v>
      </c>
    </row>
    <row r="151" spans="1:12" x14ac:dyDescent="0.25">
      <c r="A151" s="4">
        <v>46097</v>
      </c>
      <c r="B151" s="5" t="s">
        <v>187</v>
      </c>
      <c r="C151" s="6">
        <v>60</v>
      </c>
      <c r="D151" s="5" t="s">
        <v>13</v>
      </c>
      <c r="E151" s="5">
        <v>21547.9</v>
      </c>
      <c r="F151" s="7">
        <f t="shared" si="6"/>
        <v>1292874</v>
      </c>
      <c r="G151" s="7">
        <f t="shared" si="7"/>
        <v>245646.06</v>
      </c>
      <c r="H151" s="7">
        <f t="shared" si="8"/>
        <v>1538520.06</v>
      </c>
      <c r="I151" s="5" t="s">
        <v>61</v>
      </c>
      <c r="J151" s="5" t="s">
        <v>15</v>
      </c>
      <c r="K151" s="5" t="s">
        <v>183</v>
      </c>
      <c r="L151" s="5">
        <v>4065411</v>
      </c>
    </row>
    <row r="152" spans="1:12" x14ac:dyDescent="0.25">
      <c r="A152" s="4">
        <v>46097</v>
      </c>
      <c r="B152" s="5" t="s">
        <v>188</v>
      </c>
      <c r="C152" s="6">
        <v>20</v>
      </c>
      <c r="D152" s="5" t="s">
        <v>13</v>
      </c>
      <c r="E152" s="5">
        <v>17766.39</v>
      </c>
      <c r="F152" s="7">
        <f t="shared" si="6"/>
        <v>355327.8</v>
      </c>
      <c r="G152" s="7">
        <f t="shared" si="7"/>
        <v>67512.281999999992</v>
      </c>
      <c r="H152" s="7">
        <f t="shared" si="8"/>
        <v>422840.08199999999</v>
      </c>
      <c r="I152" s="5" t="s">
        <v>61</v>
      </c>
      <c r="J152" s="5" t="s">
        <v>15</v>
      </c>
      <c r="K152" s="5" t="s">
        <v>183</v>
      </c>
      <c r="L152" s="5">
        <v>4065411</v>
      </c>
    </row>
    <row r="153" spans="1:12" x14ac:dyDescent="0.25">
      <c r="A153" s="4">
        <v>46098</v>
      </c>
      <c r="B153" s="5" t="s">
        <v>189</v>
      </c>
      <c r="C153" s="6">
        <v>23</v>
      </c>
      <c r="D153" s="5" t="s">
        <v>13</v>
      </c>
      <c r="E153" s="5">
        <v>57630.86</v>
      </c>
      <c r="F153" s="7">
        <f t="shared" si="6"/>
        <v>1325509.78</v>
      </c>
      <c r="G153" s="7">
        <f t="shared" si="7"/>
        <v>251846.85820000002</v>
      </c>
      <c r="H153" s="7">
        <f t="shared" si="8"/>
        <v>1577356.6381999999</v>
      </c>
      <c r="I153" s="5" t="s">
        <v>61</v>
      </c>
      <c r="J153" s="5" t="s">
        <v>15</v>
      </c>
      <c r="K153" s="5" t="s">
        <v>190</v>
      </c>
      <c r="L153" s="5" t="s">
        <v>63</v>
      </c>
    </row>
    <row r="154" spans="1:12" x14ac:dyDescent="0.25">
      <c r="A154" s="4">
        <v>46098</v>
      </c>
      <c r="B154" s="5" t="s">
        <v>191</v>
      </c>
      <c r="C154" s="6">
        <v>7</v>
      </c>
      <c r="D154" s="5" t="s">
        <v>13</v>
      </c>
      <c r="E154" s="5">
        <v>51381.48</v>
      </c>
      <c r="F154" s="7">
        <f t="shared" si="6"/>
        <v>359670.36000000004</v>
      </c>
      <c r="G154" s="7">
        <f t="shared" si="7"/>
        <v>68337.368400000007</v>
      </c>
      <c r="H154" s="7">
        <f t="shared" si="8"/>
        <v>428007.72840000002</v>
      </c>
      <c r="I154" s="5" t="s">
        <v>61</v>
      </c>
      <c r="J154" s="5" t="s">
        <v>15</v>
      </c>
      <c r="K154" s="5" t="s">
        <v>190</v>
      </c>
      <c r="L154" s="5" t="s">
        <v>63</v>
      </c>
    </row>
    <row r="155" spans="1:12" x14ac:dyDescent="0.25">
      <c r="A155" s="4">
        <v>46107</v>
      </c>
      <c r="B155" s="5" t="s">
        <v>192</v>
      </c>
      <c r="C155" s="6">
        <v>2</v>
      </c>
      <c r="D155" s="5" t="s">
        <v>13</v>
      </c>
      <c r="E155" s="5">
        <v>1450</v>
      </c>
      <c r="F155" s="7">
        <f t="shared" si="6"/>
        <v>2900</v>
      </c>
      <c r="G155" s="7">
        <f t="shared" si="7"/>
        <v>551</v>
      </c>
      <c r="H155" s="7">
        <f t="shared" si="8"/>
        <v>3451</v>
      </c>
      <c r="I155" s="5" t="s">
        <v>128</v>
      </c>
      <c r="J155" s="5" t="s">
        <v>15</v>
      </c>
      <c r="K155" s="5" t="s">
        <v>381</v>
      </c>
      <c r="L155" s="5">
        <v>4065055</v>
      </c>
    </row>
    <row r="156" spans="1:12" x14ac:dyDescent="0.25">
      <c r="A156" s="4">
        <v>46107</v>
      </c>
      <c r="B156" s="5" t="s">
        <v>193</v>
      </c>
      <c r="C156" s="6">
        <v>2</v>
      </c>
      <c r="D156" s="5" t="s">
        <v>13</v>
      </c>
      <c r="E156" s="5">
        <v>850</v>
      </c>
      <c r="F156" s="7">
        <f t="shared" si="6"/>
        <v>1700</v>
      </c>
      <c r="G156" s="7">
        <f t="shared" si="7"/>
        <v>323</v>
      </c>
      <c r="H156" s="7">
        <f t="shared" si="8"/>
        <v>2023</v>
      </c>
      <c r="I156" s="5" t="s">
        <v>128</v>
      </c>
      <c r="J156" s="5" t="s">
        <v>15</v>
      </c>
      <c r="K156" s="5" t="s">
        <v>381</v>
      </c>
      <c r="L156" s="5">
        <v>4065055</v>
      </c>
    </row>
    <row r="157" spans="1:12" x14ac:dyDescent="0.25">
      <c r="A157" s="4">
        <v>46107</v>
      </c>
      <c r="B157" s="5" t="s">
        <v>194</v>
      </c>
      <c r="C157" s="6">
        <v>35</v>
      </c>
      <c r="D157" s="5" t="s">
        <v>13</v>
      </c>
      <c r="E157" s="5">
        <v>170</v>
      </c>
      <c r="F157" s="7">
        <f t="shared" si="6"/>
        <v>5950</v>
      </c>
      <c r="G157" s="7">
        <f t="shared" si="7"/>
        <v>1130.5</v>
      </c>
      <c r="H157" s="7">
        <f t="shared" si="8"/>
        <v>7080.5</v>
      </c>
      <c r="I157" s="5" t="s">
        <v>128</v>
      </c>
      <c r="J157" s="5" t="s">
        <v>15</v>
      </c>
      <c r="K157" s="5" t="s">
        <v>381</v>
      </c>
      <c r="L157" s="5">
        <v>4065055</v>
      </c>
    </row>
    <row r="158" spans="1:12" x14ac:dyDescent="0.25">
      <c r="A158" s="4">
        <v>46107</v>
      </c>
      <c r="B158" s="5" t="s">
        <v>195</v>
      </c>
      <c r="C158" s="6">
        <v>6</v>
      </c>
      <c r="D158" s="5" t="s">
        <v>13</v>
      </c>
      <c r="E158" s="5">
        <v>450</v>
      </c>
      <c r="F158" s="7">
        <f t="shared" si="6"/>
        <v>2700</v>
      </c>
      <c r="G158" s="7">
        <f t="shared" si="7"/>
        <v>513</v>
      </c>
      <c r="H158" s="7">
        <f t="shared" si="8"/>
        <v>3213</v>
      </c>
      <c r="I158" s="5" t="s">
        <v>128</v>
      </c>
      <c r="J158" s="5" t="s">
        <v>15</v>
      </c>
      <c r="K158" s="5" t="s">
        <v>381</v>
      </c>
      <c r="L158" s="5">
        <v>4065055</v>
      </c>
    </row>
    <row r="159" spans="1:12" x14ac:dyDescent="0.25">
      <c r="A159" s="4">
        <v>46107</v>
      </c>
      <c r="B159" s="5" t="s">
        <v>196</v>
      </c>
      <c r="C159" s="6">
        <v>1</v>
      </c>
      <c r="D159" s="5" t="s">
        <v>13</v>
      </c>
      <c r="E159" s="5">
        <v>546</v>
      </c>
      <c r="F159" s="7">
        <f t="shared" si="6"/>
        <v>546</v>
      </c>
      <c r="G159" s="7">
        <f t="shared" si="7"/>
        <v>103.74</v>
      </c>
      <c r="H159" s="7">
        <f t="shared" si="8"/>
        <v>649.74</v>
      </c>
      <c r="I159" s="5" t="s">
        <v>128</v>
      </c>
      <c r="J159" s="5" t="s">
        <v>15</v>
      </c>
      <c r="K159" s="5" t="s">
        <v>381</v>
      </c>
      <c r="L159" s="5">
        <v>4065055</v>
      </c>
    </row>
    <row r="160" spans="1:12" x14ac:dyDescent="0.25">
      <c r="A160" s="4">
        <v>46107</v>
      </c>
      <c r="B160" s="5" t="s">
        <v>197</v>
      </c>
      <c r="C160" s="6">
        <v>1</v>
      </c>
      <c r="D160" s="5" t="s">
        <v>13</v>
      </c>
      <c r="E160" s="5">
        <v>4200</v>
      </c>
      <c r="F160" s="7">
        <f t="shared" si="6"/>
        <v>4200</v>
      </c>
      <c r="G160" s="7">
        <f t="shared" si="7"/>
        <v>798</v>
      </c>
      <c r="H160" s="7">
        <f t="shared" si="8"/>
        <v>4998</v>
      </c>
      <c r="I160" s="5" t="s">
        <v>128</v>
      </c>
      <c r="J160" s="5" t="s">
        <v>15</v>
      </c>
      <c r="K160" s="5" t="s">
        <v>381</v>
      </c>
      <c r="L160" s="5">
        <v>4065055</v>
      </c>
    </row>
    <row r="161" spans="1:12" x14ac:dyDescent="0.25">
      <c r="A161" s="4">
        <v>46107</v>
      </c>
      <c r="B161" s="5" t="s">
        <v>198</v>
      </c>
      <c r="C161" s="6">
        <v>6</v>
      </c>
      <c r="D161" s="5" t="s">
        <v>13</v>
      </c>
      <c r="E161" s="5">
        <v>3250</v>
      </c>
      <c r="F161" s="7">
        <f t="shared" si="6"/>
        <v>19500</v>
      </c>
      <c r="G161" s="7">
        <f t="shared" si="7"/>
        <v>3705</v>
      </c>
      <c r="H161" s="7">
        <f t="shared" si="8"/>
        <v>23205</v>
      </c>
      <c r="I161" s="5" t="s">
        <v>128</v>
      </c>
      <c r="J161" s="5" t="s">
        <v>15</v>
      </c>
      <c r="K161" s="5" t="s">
        <v>381</v>
      </c>
      <c r="L161" s="5">
        <v>4065055</v>
      </c>
    </row>
    <row r="162" spans="1:12" x14ac:dyDescent="0.25">
      <c r="A162" s="4">
        <v>46107</v>
      </c>
      <c r="B162" s="5" t="s">
        <v>199</v>
      </c>
      <c r="C162" s="6">
        <v>1</v>
      </c>
      <c r="D162" s="5" t="s">
        <v>13</v>
      </c>
      <c r="E162" s="5">
        <v>4485</v>
      </c>
      <c r="F162" s="7">
        <f t="shared" si="6"/>
        <v>4485</v>
      </c>
      <c r="G162" s="7">
        <f t="shared" si="7"/>
        <v>852.15</v>
      </c>
      <c r="H162" s="7">
        <f t="shared" si="8"/>
        <v>5337.15</v>
      </c>
      <c r="I162" s="5" t="s">
        <v>128</v>
      </c>
      <c r="J162" s="5" t="s">
        <v>15</v>
      </c>
      <c r="K162" s="5" t="s">
        <v>381</v>
      </c>
      <c r="L162" s="5">
        <v>4065055</v>
      </c>
    </row>
    <row r="163" spans="1:12" x14ac:dyDescent="0.25">
      <c r="A163" s="4">
        <v>46107</v>
      </c>
      <c r="B163" s="5" t="s">
        <v>200</v>
      </c>
      <c r="C163" s="6">
        <v>4</v>
      </c>
      <c r="D163" s="5" t="s">
        <v>13</v>
      </c>
      <c r="E163" s="5">
        <v>133.69</v>
      </c>
      <c r="F163" s="7">
        <f t="shared" si="6"/>
        <v>534.76</v>
      </c>
      <c r="G163" s="7">
        <f t="shared" si="7"/>
        <v>101.6044</v>
      </c>
      <c r="H163" s="7">
        <f t="shared" si="8"/>
        <v>636.36439999999993</v>
      </c>
      <c r="I163" s="5" t="s">
        <v>128</v>
      </c>
      <c r="J163" s="5" t="s">
        <v>15</v>
      </c>
      <c r="K163" s="5" t="s">
        <v>381</v>
      </c>
      <c r="L163" s="5">
        <v>4065055</v>
      </c>
    </row>
    <row r="164" spans="1:12" x14ac:dyDescent="0.25">
      <c r="A164" s="4">
        <v>46107</v>
      </c>
      <c r="B164" s="5" t="s">
        <v>201</v>
      </c>
      <c r="C164" s="6">
        <v>12</v>
      </c>
      <c r="D164" s="5" t="s">
        <v>13</v>
      </c>
      <c r="E164" s="5">
        <v>199.2</v>
      </c>
      <c r="F164" s="7">
        <f t="shared" si="6"/>
        <v>2390.3999999999996</v>
      </c>
      <c r="G164" s="7">
        <f t="shared" si="7"/>
        <v>454.17599999999993</v>
      </c>
      <c r="H164" s="7">
        <f t="shared" si="8"/>
        <v>2844.5759999999996</v>
      </c>
      <c r="I164" s="5" t="s">
        <v>128</v>
      </c>
      <c r="J164" s="5" t="s">
        <v>15</v>
      </c>
      <c r="K164" s="5" t="s">
        <v>381</v>
      </c>
      <c r="L164" s="5">
        <v>4065055</v>
      </c>
    </row>
    <row r="165" spans="1:12" x14ac:dyDescent="0.25">
      <c r="A165" s="4">
        <v>46107</v>
      </c>
      <c r="B165" s="5" t="s">
        <v>202</v>
      </c>
      <c r="C165" s="6">
        <v>28</v>
      </c>
      <c r="D165" s="5" t="s">
        <v>13</v>
      </c>
      <c r="E165" s="5">
        <v>69.98</v>
      </c>
      <c r="F165" s="7">
        <f t="shared" si="6"/>
        <v>1959.44</v>
      </c>
      <c r="G165" s="7">
        <f t="shared" si="7"/>
        <v>372.29360000000003</v>
      </c>
      <c r="H165" s="7">
        <f t="shared" si="8"/>
        <v>2331.7336</v>
      </c>
      <c r="I165" s="5" t="s">
        <v>128</v>
      </c>
      <c r="J165" s="5" t="s">
        <v>15</v>
      </c>
      <c r="K165" s="5" t="s">
        <v>381</v>
      </c>
      <c r="L165" s="5">
        <v>4065055</v>
      </c>
    </row>
    <row r="166" spans="1:12" x14ac:dyDescent="0.25">
      <c r="A166" s="4">
        <v>46107</v>
      </c>
      <c r="B166" s="5" t="s">
        <v>203</v>
      </c>
      <c r="C166" s="6">
        <v>24</v>
      </c>
      <c r="D166" s="5" t="s">
        <v>13</v>
      </c>
      <c r="E166" s="5">
        <v>441.6</v>
      </c>
      <c r="F166" s="7">
        <f t="shared" si="6"/>
        <v>10598.400000000001</v>
      </c>
      <c r="G166" s="7">
        <f t="shared" si="7"/>
        <v>2013.6960000000004</v>
      </c>
      <c r="H166" s="7">
        <f t="shared" si="8"/>
        <v>12612.096000000001</v>
      </c>
      <c r="I166" s="5" t="s">
        <v>128</v>
      </c>
      <c r="J166" s="5" t="s">
        <v>15</v>
      </c>
      <c r="K166" s="5" t="s">
        <v>381</v>
      </c>
      <c r="L166" s="5">
        <v>4065055</v>
      </c>
    </row>
    <row r="167" spans="1:12" x14ac:dyDescent="0.25">
      <c r="A167" s="4">
        <v>46107</v>
      </c>
      <c r="B167" s="5" t="s">
        <v>204</v>
      </c>
      <c r="C167" s="6">
        <v>4</v>
      </c>
      <c r="D167" s="5" t="s">
        <v>13</v>
      </c>
      <c r="E167" s="5">
        <v>783.22</v>
      </c>
      <c r="F167" s="7">
        <f t="shared" si="6"/>
        <v>3132.88</v>
      </c>
      <c r="G167" s="7">
        <f t="shared" si="7"/>
        <v>595.24720000000002</v>
      </c>
      <c r="H167" s="7">
        <f t="shared" si="8"/>
        <v>3728.1271999999999</v>
      </c>
      <c r="I167" s="5" t="s">
        <v>128</v>
      </c>
      <c r="J167" s="5" t="s">
        <v>15</v>
      </c>
      <c r="K167" s="5" t="s">
        <v>381</v>
      </c>
      <c r="L167" s="5">
        <v>4065055</v>
      </c>
    </row>
    <row r="168" spans="1:12" x14ac:dyDescent="0.25">
      <c r="A168" s="4">
        <v>46107</v>
      </c>
      <c r="B168" s="5" t="s">
        <v>205</v>
      </c>
      <c r="C168" s="6">
        <v>4</v>
      </c>
      <c r="D168" s="5" t="s">
        <v>13</v>
      </c>
      <c r="E168" s="5">
        <v>271.04000000000002</v>
      </c>
      <c r="F168" s="7">
        <f t="shared" si="6"/>
        <v>1084.1600000000001</v>
      </c>
      <c r="G168" s="7">
        <f t="shared" si="7"/>
        <v>205.99040000000002</v>
      </c>
      <c r="H168" s="7">
        <f t="shared" si="8"/>
        <v>1290.1504</v>
      </c>
      <c r="I168" s="5" t="s">
        <v>128</v>
      </c>
      <c r="J168" s="5" t="s">
        <v>15</v>
      </c>
      <c r="K168" s="5" t="s">
        <v>381</v>
      </c>
      <c r="L168" s="5">
        <v>4065055</v>
      </c>
    </row>
    <row r="169" spans="1:12" x14ac:dyDescent="0.25">
      <c r="A169" s="4">
        <v>46107</v>
      </c>
      <c r="B169" s="5" t="s">
        <v>206</v>
      </c>
      <c r="C169" s="6">
        <v>24</v>
      </c>
      <c r="D169" s="5" t="s">
        <v>13</v>
      </c>
      <c r="E169" s="5">
        <v>143.97</v>
      </c>
      <c r="F169" s="7">
        <f t="shared" si="6"/>
        <v>3455.2799999999997</v>
      </c>
      <c r="G169" s="7">
        <f t="shared" si="7"/>
        <v>656.50319999999999</v>
      </c>
      <c r="H169" s="7">
        <f t="shared" si="8"/>
        <v>4111.7831999999999</v>
      </c>
      <c r="I169" s="5" t="s">
        <v>128</v>
      </c>
      <c r="J169" s="5" t="s">
        <v>15</v>
      </c>
      <c r="K169" s="5" t="s">
        <v>381</v>
      </c>
      <c r="L169" s="5">
        <v>4065055</v>
      </c>
    </row>
    <row r="170" spans="1:12" x14ac:dyDescent="0.25">
      <c r="A170" s="4">
        <v>46107</v>
      </c>
      <c r="B170" s="5" t="s">
        <v>207</v>
      </c>
      <c r="C170" s="6">
        <v>105</v>
      </c>
      <c r="D170" s="5" t="s">
        <v>13</v>
      </c>
      <c r="E170" s="5">
        <v>138</v>
      </c>
      <c r="F170" s="7">
        <f t="shared" si="6"/>
        <v>14490</v>
      </c>
      <c r="G170" s="7">
        <f t="shared" si="7"/>
        <v>2753.1</v>
      </c>
      <c r="H170" s="7">
        <f t="shared" si="8"/>
        <v>17243.099999999999</v>
      </c>
      <c r="I170" s="5" t="s">
        <v>128</v>
      </c>
      <c r="J170" s="5" t="s">
        <v>15</v>
      </c>
      <c r="K170" s="5" t="s">
        <v>381</v>
      </c>
      <c r="L170" s="5">
        <v>4065055</v>
      </c>
    </row>
    <row r="171" spans="1:12" x14ac:dyDescent="0.25">
      <c r="A171" s="4">
        <v>46107</v>
      </c>
      <c r="B171" s="5" t="s">
        <v>208</v>
      </c>
      <c r="C171" s="6">
        <v>50</v>
      </c>
      <c r="D171" s="5" t="s">
        <v>13</v>
      </c>
      <c r="E171" s="5">
        <v>276</v>
      </c>
      <c r="F171" s="7">
        <f t="shared" si="6"/>
        <v>13800</v>
      </c>
      <c r="G171" s="7">
        <f t="shared" si="7"/>
        <v>2622</v>
      </c>
      <c r="H171" s="7">
        <f t="shared" si="8"/>
        <v>16422</v>
      </c>
      <c r="I171" s="5" t="s">
        <v>128</v>
      </c>
      <c r="J171" s="5" t="s">
        <v>15</v>
      </c>
      <c r="K171" s="5" t="s">
        <v>381</v>
      </c>
      <c r="L171" s="5">
        <v>4065055</v>
      </c>
    </row>
    <row r="172" spans="1:12" x14ac:dyDescent="0.25">
      <c r="A172" s="4">
        <v>46107</v>
      </c>
      <c r="B172" s="5" t="s">
        <v>209</v>
      </c>
      <c r="C172" s="6">
        <v>50</v>
      </c>
      <c r="D172" s="5" t="s">
        <v>13</v>
      </c>
      <c r="E172" s="5">
        <v>230</v>
      </c>
      <c r="F172" s="7">
        <f t="shared" si="6"/>
        <v>11500</v>
      </c>
      <c r="G172" s="7">
        <f t="shared" si="7"/>
        <v>2185</v>
      </c>
      <c r="H172" s="7">
        <f t="shared" si="8"/>
        <v>13685</v>
      </c>
      <c r="I172" s="5" t="s">
        <v>128</v>
      </c>
      <c r="J172" s="5" t="s">
        <v>15</v>
      </c>
      <c r="K172" s="5" t="s">
        <v>381</v>
      </c>
      <c r="L172" s="5">
        <v>4065055</v>
      </c>
    </row>
    <row r="173" spans="1:12" x14ac:dyDescent="0.25">
      <c r="A173" s="4">
        <v>46107</v>
      </c>
      <c r="B173" s="5" t="s">
        <v>210</v>
      </c>
      <c r="C173" s="6">
        <v>50</v>
      </c>
      <c r="D173" s="5" t="s">
        <v>13</v>
      </c>
      <c r="E173" s="5">
        <v>180</v>
      </c>
      <c r="F173" s="7">
        <f t="shared" si="6"/>
        <v>9000</v>
      </c>
      <c r="G173" s="7">
        <f t="shared" si="7"/>
        <v>1710</v>
      </c>
      <c r="H173" s="7">
        <f t="shared" si="8"/>
        <v>10710</v>
      </c>
      <c r="I173" s="5" t="s">
        <v>128</v>
      </c>
      <c r="J173" s="5" t="s">
        <v>15</v>
      </c>
      <c r="K173" s="5" t="s">
        <v>381</v>
      </c>
      <c r="L173" s="5">
        <v>4065055</v>
      </c>
    </row>
    <row r="174" spans="1:12" x14ac:dyDescent="0.25">
      <c r="A174" s="4">
        <v>46110</v>
      </c>
      <c r="B174" s="5" t="s">
        <v>211</v>
      </c>
      <c r="C174" s="6">
        <v>10</v>
      </c>
      <c r="D174" s="5" t="s">
        <v>212</v>
      </c>
      <c r="E174" s="5">
        <v>2882.22</v>
      </c>
      <c r="F174" s="7">
        <f t="shared" si="6"/>
        <v>28822.199999999997</v>
      </c>
      <c r="G174" s="7">
        <f t="shared" si="7"/>
        <v>5476.2179999999998</v>
      </c>
      <c r="H174" s="7">
        <f t="shared" si="8"/>
        <v>34298.417999999998</v>
      </c>
      <c r="I174" s="5" t="s">
        <v>213</v>
      </c>
      <c r="J174" s="5" t="s">
        <v>15</v>
      </c>
      <c r="K174" s="5" t="s">
        <v>382</v>
      </c>
      <c r="L174" s="5" t="s">
        <v>63</v>
      </c>
    </row>
    <row r="175" spans="1:12" x14ac:dyDescent="0.25">
      <c r="A175" s="4">
        <v>46110</v>
      </c>
      <c r="B175" s="5" t="s">
        <v>214</v>
      </c>
      <c r="C175" s="6">
        <v>10</v>
      </c>
      <c r="D175" s="5" t="s">
        <v>212</v>
      </c>
      <c r="E175" s="5">
        <v>2882.22</v>
      </c>
      <c r="F175" s="7">
        <f t="shared" si="6"/>
        <v>28822.199999999997</v>
      </c>
      <c r="G175" s="7">
        <f t="shared" si="7"/>
        <v>5476.2179999999998</v>
      </c>
      <c r="H175" s="7">
        <f t="shared" si="8"/>
        <v>34298.417999999998</v>
      </c>
      <c r="I175" s="5" t="s">
        <v>213</v>
      </c>
      <c r="J175" s="5" t="s">
        <v>15</v>
      </c>
      <c r="K175" s="5" t="s">
        <v>382</v>
      </c>
      <c r="L175" s="5" t="s">
        <v>63</v>
      </c>
    </row>
    <row r="176" spans="1:12" x14ac:dyDescent="0.25">
      <c r="A176" s="4">
        <v>46110</v>
      </c>
      <c r="B176" s="5" t="s">
        <v>215</v>
      </c>
      <c r="C176" s="6">
        <v>70</v>
      </c>
      <c r="D176" s="5" t="s">
        <v>212</v>
      </c>
      <c r="E176" s="5">
        <v>2882.22</v>
      </c>
      <c r="F176" s="7">
        <f t="shared" si="6"/>
        <v>201755.4</v>
      </c>
      <c r="G176" s="7">
        <f t="shared" si="7"/>
        <v>38333.525999999998</v>
      </c>
      <c r="H176" s="7">
        <f t="shared" si="8"/>
        <v>240088.92599999998</v>
      </c>
      <c r="I176" s="5" t="s">
        <v>213</v>
      </c>
      <c r="J176" s="5" t="s">
        <v>15</v>
      </c>
      <c r="K176" s="5" t="s">
        <v>382</v>
      </c>
      <c r="L176" s="5" t="s">
        <v>63</v>
      </c>
    </row>
    <row r="177" spans="1:12" x14ac:dyDescent="0.25">
      <c r="A177" s="4">
        <v>46110</v>
      </c>
      <c r="B177" s="5" t="s">
        <v>216</v>
      </c>
      <c r="C177" s="6">
        <v>10</v>
      </c>
      <c r="D177" s="5" t="s">
        <v>212</v>
      </c>
      <c r="E177" s="5">
        <v>2882.22</v>
      </c>
      <c r="F177" s="7">
        <f t="shared" si="6"/>
        <v>28822.199999999997</v>
      </c>
      <c r="G177" s="7">
        <f t="shared" si="7"/>
        <v>5476.2179999999998</v>
      </c>
      <c r="H177" s="7">
        <f t="shared" si="8"/>
        <v>34298.417999999998</v>
      </c>
      <c r="I177" s="5" t="s">
        <v>213</v>
      </c>
      <c r="J177" s="5" t="s">
        <v>15</v>
      </c>
      <c r="K177" s="5" t="s">
        <v>382</v>
      </c>
      <c r="L177" s="5" t="s">
        <v>63</v>
      </c>
    </row>
    <row r="178" spans="1:12" x14ac:dyDescent="0.25">
      <c r="A178" s="4">
        <v>46112</v>
      </c>
      <c r="B178" s="5" t="s">
        <v>56</v>
      </c>
      <c r="C178" s="6">
        <v>34</v>
      </c>
      <c r="D178" s="5" t="s">
        <v>13</v>
      </c>
      <c r="E178" s="5">
        <v>5448</v>
      </c>
      <c r="F178" s="7">
        <f t="shared" si="6"/>
        <v>185232</v>
      </c>
      <c r="G178" s="7">
        <f t="shared" si="7"/>
        <v>35194.080000000002</v>
      </c>
      <c r="H178" s="7">
        <f t="shared" si="8"/>
        <v>220426.08000000002</v>
      </c>
      <c r="I178" s="5" t="s">
        <v>54</v>
      </c>
      <c r="J178" s="5" t="s">
        <v>15</v>
      </c>
      <c r="K178" s="5" t="s">
        <v>394</v>
      </c>
      <c r="L178" s="5">
        <v>4065423</v>
      </c>
    </row>
    <row r="179" spans="1:12" x14ac:dyDescent="0.25">
      <c r="A179" s="4">
        <v>46112</v>
      </c>
      <c r="B179" s="5" t="s">
        <v>57</v>
      </c>
      <c r="C179" s="6">
        <v>34</v>
      </c>
      <c r="D179" s="5" t="s">
        <v>13</v>
      </c>
      <c r="E179" s="5">
        <v>1448</v>
      </c>
      <c r="F179" s="7">
        <f t="shared" si="6"/>
        <v>49232</v>
      </c>
      <c r="G179" s="7">
        <f t="shared" si="7"/>
        <v>9354.08</v>
      </c>
      <c r="H179" s="7">
        <f t="shared" si="8"/>
        <v>58586.080000000002</v>
      </c>
      <c r="I179" s="5" t="s">
        <v>54</v>
      </c>
      <c r="J179" s="5" t="s">
        <v>15</v>
      </c>
      <c r="K179" s="5" t="s">
        <v>395</v>
      </c>
      <c r="L179" s="5">
        <v>4065423</v>
      </c>
    </row>
    <row r="180" spans="1:12" x14ac:dyDescent="0.25">
      <c r="A180" s="4">
        <v>46112</v>
      </c>
      <c r="B180" s="5" t="s">
        <v>217</v>
      </c>
      <c r="C180" s="6">
        <v>20</v>
      </c>
      <c r="D180" s="5" t="s">
        <v>212</v>
      </c>
      <c r="E180" s="5">
        <v>4621.8500000000004</v>
      </c>
      <c r="F180" s="7">
        <f t="shared" si="6"/>
        <v>92437</v>
      </c>
      <c r="G180" s="7">
        <f t="shared" si="7"/>
        <v>17563.03</v>
      </c>
      <c r="H180" s="7">
        <f t="shared" si="8"/>
        <v>110000.03</v>
      </c>
      <c r="I180" s="5" t="s">
        <v>218</v>
      </c>
      <c r="J180" s="5" t="s">
        <v>15</v>
      </c>
      <c r="K180" s="5" t="s">
        <v>396</v>
      </c>
      <c r="L180" s="5">
        <v>4065434</v>
      </c>
    </row>
    <row r="181" spans="1:12" x14ac:dyDescent="0.25">
      <c r="A181" s="4">
        <v>46112</v>
      </c>
      <c r="B181" s="5" t="s">
        <v>219</v>
      </c>
      <c r="C181" s="6">
        <v>5</v>
      </c>
      <c r="D181" s="5" t="s">
        <v>220</v>
      </c>
      <c r="E181" s="5">
        <v>504.2</v>
      </c>
      <c r="F181" s="7">
        <f t="shared" si="6"/>
        <v>2521</v>
      </c>
      <c r="G181" s="7">
        <f t="shared" si="7"/>
        <v>478.99</v>
      </c>
      <c r="H181" s="7">
        <f t="shared" si="8"/>
        <v>2999.99</v>
      </c>
      <c r="I181" s="5" t="s">
        <v>218</v>
      </c>
      <c r="J181" s="5" t="s">
        <v>15</v>
      </c>
      <c r="K181" s="5" t="s">
        <v>396</v>
      </c>
      <c r="L181" s="5">
        <v>4065434</v>
      </c>
    </row>
    <row r="182" spans="1:12" x14ac:dyDescent="0.25">
      <c r="A182" s="4">
        <v>46131</v>
      </c>
      <c r="B182" s="5" t="s">
        <v>221</v>
      </c>
      <c r="C182" s="6">
        <v>25</v>
      </c>
      <c r="D182" s="5" t="s">
        <v>13</v>
      </c>
      <c r="E182" s="5">
        <v>4369.75</v>
      </c>
      <c r="F182" s="7">
        <f t="shared" si="6"/>
        <v>109243.75</v>
      </c>
      <c r="G182" s="7">
        <f t="shared" si="7"/>
        <v>20756.3125</v>
      </c>
      <c r="H182" s="7">
        <f t="shared" si="8"/>
        <v>130000.0625</v>
      </c>
      <c r="I182" s="5" t="s">
        <v>101</v>
      </c>
      <c r="J182" s="5" t="s">
        <v>15</v>
      </c>
      <c r="K182" s="5" t="s">
        <v>222</v>
      </c>
      <c r="L182" s="5">
        <v>4065058</v>
      </c>
    </row>
    <row r="183" spans="1:12" x14ac:dyDescent="0.25">
      <c r="A183" s="4">
        <v>46131</v>
      </c>
      <c r="B183" s="5" t="s">
        <v>223</v>
      </c>
      <c r="C183" s="6">
        <v>30</v>
      </c>
      <c r="D183" s="5" t="s">
        <v>13</v>
      </c>
      <c r="E183" s="5">
        <v>2201.6799999999998</v>
      </c>
      <c r="F183" s="7">
        <f t="shared" si="6"/>
        <v>66050.399999999994</v>
      </c>
      <c r="G183" s="7">
        <f t="shared" si="7"/>
        <v>12549.575999999999</v>
      </c>
      <c r="H183" s="7">
        <f t="shared" si="8"/>
        <v>78599.975999999995</v>
      </c>
      <c r="I183" s="5" t="s">
        <v>101</v>
      </c>
      <c r="J183" s="5" t="s">
        <v>15</v>
      </c>
      <c r="K183" s="5" t="s">
        <v>222</v>
      </c>
      <c r="L183" s="5">
        <v>4065058</v>
      </c>
    </row>
    <row r="184" spans="1:12" x14ac:dyDescent="0.25">
      <c r="A184" s="4">
        <v>46133</v>
      </c>
      <c r="B184" s="5" t="s">
        <v>224</v>
      </c>
      <c r="C184" s="6">
        <v>30.1</v>
      </c>
      <c r="D184" s="5" t="s">
        <v>13</v>
      </c>
      <c r="E184" s="5">
        <v>7089</v>
      </c>
      <c r="F184" s="7">
        <f t="shared" si="6"/>
        <v>213378.90000000002</v>
      </c>
      <c r="G184" s="7">
        <f t="shared" si="7"/>
        <v>40541.991000000002</v>
      </c>
      <c r="H184" s="7">
        <f t="shared" si="8"/>
        <v>253920.89100000003</v>
      </c>
      <c r="I184" s="5" t="s">
        <v>165</v>
      </c>
      <c r="J184" s="5" t="s">
        <v>15</v>
      </c>
      <c r="K184" s="5" t="s">
        <v>383</v>
      </c>
      <c r="L184" s="5">
        <v>8173840</v>
      </c>
    </row>
    <row r="185" spans="1:12" x14ac:dyDescent="0.25">
      <c r="A185" s="4">
        <v>46133</v>
      </c>
      <c r="B185" s="5" t="s">
        <v>225</v>
      </c>
      <c r="C185" s="6">
        <v>10</v>
      </c>
      <c r="D185" s="5" t="s">
        <v>13</v>
      </c>
      <c r="E185" s="5">
        <v>132</v>
      </c>
      <c r="F185" s="7">
        <f t="shared" si="6"/>
        <v>1320</v>
      </c>
      <c r="G185" s="7">
        <f t="shared" si="7"/>
        <v>250.8</v>
      </c>
      <c r="H185" s="7">
        <f t="shared" si="8"/>
        <v>1570.8</v>
      </c>
      <c r="I185" s="5" t="s">
        <v>167</v>
      </c>
      <c r="J185" s="5" t="s">
        <v>15</v>
      </c>
      <c r="K185" s="5" t="s">
        <v>397</v>
      </c>
      <c r="L185" s="5">
        <v>4065069</v>
      </c>
    </row>
    <row r="186" spans="1:12" x14ac:dyDescent="0.25">
      <c r="A186" s="4">
        <v>46133</v>
      </c>
      <c r="B186" s="5" t="s">
        <v>226</v>
      </c>
      <c r="C186" s="6">
        <v>10</v>
      </c>
      <c r="D186" s="5" t="s">
        <v>13</v>
      </c>
      <c r="E186" s="5">
        <v>228</v>
      </c>
      <c r="F186" s="7">
        <f t="shared" si="6"/>
        <v>2280</v>
      </c>
      <c r="G186" s="7">
        <f t="shared" si="7"/>
        <v>433.2</v>
      </c>
      <c r="H186" s="7">
        <f t="shared" si="8"/>
        <v>2713.2</v>
      </c>
      <c r="I186" s="5" t="s">
        <v>167</v>
      </c>
      <c r="J186" s="5" t="s">
        <v>15</v>
      </c>
      <c r="K186" s="5" t="s">
        <v>397</v>
      </c>
      <c r="L186" s="5">
        <v>4065069</v>
      </c>
    </row>
    <row r="187" spans="1:12" x14ac:dyDescent="0.25">
      <c r="A187" s="4">
        <v>46133</v>
      </c>
      <c r="B187" s="5" t="s">
        <v>227</v>
      </c>
      <c r="C187" s="6">
        <v>2</v>
      </c>
      <c r="D187" s="5" t="s">
        <v>13</v>
      </c>
      <c r="E187" s="5">
        <v>820</v>
      </c>
      <c r="F187" s="7">
        <f t="shared" si="6"/>
        <v>1640</v>
      </c>
      <c r="G187" s="7">
        <f t="shared" si="7"/>
        <v>311.60000000000002</v>
      </c>
      <c r="H187" s="7">
        <f t="shared" si="8"/>
        <v>1951.6</v>
      </c>
      <c r="I187" s="5" t="s">
        <v>167</v>
      </c>
      <c r="J187" s="5" t="s">
        <v>15</v>
      </c>
      <c r="K187" s="5" t="s">
        <v>397</v>
      </c>
      <c r="L187" s="5">
        <v>4065069</v>
      </c>
    </row>
    <row r="188" spans="1:12" x14ac:dyDescent="0.25">
      <c r="A188" s="4">
        <v>46133</v>
      </c>
      <c r="B188" s="5" t="s">
        <v>228</v>
      </c>
      <c r="C188" s="6">
        <v>10</v>
      </c>
      <c r="D188" s="5" t="s">
        <v>13</v>
      </c>
      <c r="E188" s="5">
        <v>148</v>
      </c>
      <c r="F188" s="7">
        <f t="shared" si="6"/>
        <v>1480</v>
      </c>
      <c r="G188" s="7">
        <f t="shared" si="7"/>
        <v>281.2</v>
      </c>
      <c r="H188" s="7">
        <f t="shared" si="8"/>
        <v>1761.2</v>
      </c>
      <c r="I188" s="5" t="s">
        <v>167</v>
      </c>
      <c r="J188" s="5" t="s">
        <v>15</v>
      </c>
      <c r="K188" s="5" t="s">
        <v>397</v>
      </c>
      <c r="L188" s="5">
        <v>4065069</v>
      </c>
    </row>
    <row r="189" spans="1:12" x14ac:dyDescent="0.25">
      <c r="A189" s="4">
        <v>46133</v>
      </c>
      <c r="B189" s="5" t="s">
        <v>229</v>
      </c>
      <c r="C189" s="6">
        <v>30</v>
      </c>
      <c r="D189" s="5" t="s">
        <v>13</v>
      </c>
      <c r="E189" s="5">
        <v>118</v>
      </c>
      <c r="F189" s="7">
        <f t="shared" si="6"/>
        <v>3540</v>
      </c>
      <c r="G189" s="7">
        <f t="shared" si="7"/>
        <v>672.6</v>
      </c>
      <c r="H189" s="7">
        <f t="shared" si="8"/>
        <v>4212.6000000000004</v>
      </c>
      <c r="I189" s="5" t="s">
        <v>167</v>
      </c>
      <c r="J189" s="5" t="s">
        <v>15</v>
      </c>
      <c r="K189" s="5" t="s">
        <v>397</v>
      </c>
      <c r="L189" s="5">
        <v>4065069</v>
      </c>
    </row>
    <row r="190" spans="1:12" x14ac:dyDescent="0.25">
      <c r="A190" s="4">
        <v>46133</v>
      </c>
      <c r="B190" s="5" t="s">
        <v>230</v>
      </c>
      <c r="C190" s="6">
        <v>12</v>
      </c>
      <c r="D190" s="5" t="s">
        <v>13</v>
      </c>
      <c r="E190" s="5">
        <v>45</v>
      </c>
      <c r="F190" s="7">
        <f t="shared" si="6"/>
        <v>540</v>
      </c>
      <c r="G190" s="7">
        <f t="shared" si="7"/>
        <v>102.6</v>
      </c>
      <c r="H190" s="7">
        <f t="shared" si="8"/>
        <v>642.6</v>
      </c>
      <c r="I190" s="5" t="s">
        <v>167</v>
      </c>
      <c r="J190" s="5" t="s">
        <v>15</v>
      </c>
      <c r="K190" s="5" t="s">
        <v>397</v>
      </c>
      <c r="L190" s="5">
        <v>4065069</v>
      </c>
    </row>
    <row r="191" spans="1:12" x14ac:dyDescent="0.25">
      <c r="A191" s="4">
        <v>46133</v>
      </c>
      <c r="B191" s="5" t="s">
        <v>231</v>
      </c>
      <c r="C191" s="6">
        <v>1</v>
      </c>
      <c r="D191" s="5" t="s">
        <v>13</v>
      </c>
      <c r="E191" s="5">
        <v>3350</v>
      </c>
      <c r="F191" s="7">
        <f t="shared" si="6"/>
        <v>3350</v>
      </c>
      <c r="G191" s="7">
        <f t="shared" si="7"/>
        <v>636.5</v>
      </c>
      <c r="H191" s="7">
        <f t="shared" si="8"/>
        <v>3986.5</v>
      </c>
      <c r="I191" s="5" t="s">
        <v>167</v>
      </c>
      <c r="J191" s="5" t="s">
        <v>15</v>
      </c>
      <c r="K191" s="5" t="s">
        <v>397</v>
      </c>
      <c r="L191" s="5">
        <v>4065069</v>
      </c>
    </row>
    <row r="192" spans="1:12" x14ac:dyDescent="0.25">
      <c r="A192" s="4">
        <v>46133</v>
      </c>
      <c r="B192" s="5" t="s">
        <v>232</v>
      </c>
      <c r="C192" s="6">
        <v>30</v>
      </c>
      <c r="D192" s="5" t="s">
        <v>13</v>
      </c>
      <c r="E192" s="5">
        <v>432</v>
      </c>
      <c r="F192" s="7">
        <f t="shared" si="6"/>
        <v>12960</v>
      </c>
      <c r="G192" s="7">
        <f t="shared" si="7"/>
        <v>2462.4</v>
      </c>
      <c r="H192" s="7">
        <f t="shared" si="8"/>
        <v>15422.4</v>
      </c>
      <c r="I192" s="5" t="s">
        <v>167</v>
      </c>
      <c r="J192" s="5" t="s">
        <v>15</v>
      </c>
      <c r="K192" s="5" t="s">
        <v>397</v>
      </c>
      <c r="L192" s="5">
        <v>4065069</v>
      </c>
    </row>
    <row r="193" spans="1:12" x14ac:dyDescent="0.25">
      <c r="A193" s="4">
        <v>46133</v>
      </c>
      <c r="B193" s="5" t="s">
        <v>233</v>
      </c>
      <c r="C193" s="6">
        <v>12</v>
      </c>
      <c r="D193" s="5" t="s">
        <v>13</v>
      </c>
      <c r="E193" s="5">
        <v>90</v>
      </c>
      <c r="F193" s="7">
        <f t="shared" si="6"/>
        <v>1080</v>
      </c>
      <c r="G193" s="7">
        <f t="shared" si="7"/>
        <v>205.2</v>
      </c>
      <c r="H193" s="7">
        <f t="shared" si="8"/>
        <v>1285.2</v>
      </c>
      <c r="I193" s="5" t="s">
        <v>167</v>
      </c>
      <c r="J193" s="5" t="s">
        <v>15</v>
      </c>
      <c r="K193" s="5" t="s">
        <v>397</v>
      </c>
      <c r="L193" s="5">
        <v>4065069</v>
      </c>
    </row>
    <row r="194" spans="1:12" x14ac:dyDescent="0.25">
      <c r="A194" s="4">
        <v>46133</v>
      </c>
      <c r="B194" s="5" t="s">
        <v>234</v>
      </c>
      <c r="C194" s="6">
        <v>2</v>
      </c>
      <c r="D194" s="5" t="s">
        <v>13</v>
      </c>
      <c r="E194" s="5">
        <v>435</v>
      </c>
      <c r="F194" s="7">
        <f t="shared" ref="F194:F257" si="9">C194*E194</f>
        <v>870</v>
      </c>
      <c r="G194" s="7">
        <f t="shared" ref="G194:G257" si="10">F194*0.19</f>
        <v>165.3</v>
      </c>
      <c r="H194" s="7">
        <f t="shared" ref="H194:H257" si="11">F194+G194</f>
        <v>1035.3</v>
      </c>
      <c r="I194" s="5" t="s">
        <v>167</v>
      </c>
      <c r="J194" s="5" t="s">
        <v>15</v>
      </c>
      <c r="K194" s="5" t="s">
        <v>397</v>
      </c>
      <c r="L194" s="5">
        <v>4065069</v>
      </c>
    </row>
    <row r="195" spans="1:12" x14ac:dyDescent="0.25">
      <c r="A195" s="4">
        <v>46133</v>
      </c>
      <c r="B195" s="5" t="s">
        <v>235</v>
      </c>
      <c r="C195" s="6">
        <v>120</v>
      </c>
      <c r="D195" s="5" t="s">
        <v>13</v>
      </c>
      <c r="E195" s="5">
        <v>105</v>
      </c>
      <c r="F195" s="7">
        <f t="shared" si="9"/>
        <v>12600</v>
      </c>
      <c r="G195" s="7">
        <f t="shared" si="10"/>
        <v>2394</v>
      </c>
      <c r="H195" s="7">
        <f t="shared" si="11"/>
        <v>14994</v>
      </c>
      <c r="I195" s="5" t="s">
        <v>167</v>
      </c>
      <c r="J195" s="5" t="s">
        <v>15</v>
      </c>
      <c r="K195" s="5" t="s">
        <v>397</v>
      </c>
      <c r="L195" s="5">
        <v>4065069</v>
      </c>
    </row>
    <row r="196" spans="1:12" x14ac:dyDescent="0.25">
      <c r="A196" s="4">
        <v>46133</v>
      </c>
      <c r="B196" s="5" t="s">
        <v>236</v>
      </c>
      <c r="C196" s="6">
        <v>120</v>
      </c>
      <c r="D196" s="5" t="s">
        <v>13</v>
      </c>
      <c r="E196" s="5">
        <v>95</v>
      </c>
      <c r="F196" s="7">
        <f t="shared" si="9"/>
        <v>11400</v>
      </c>
      <c r="G196" s="7">
        <f t="shared" si="10"/>
        <v>2166</v>
      </c>
      <c r="H196" s="7">
        <f t="shared" si="11"/>
        <v>13566</v>
      </c>
      <c r="I196" s="5" t="s">
        <v>167</v>
      </c>
      <c r="J196" s="5" t="s">
        <v>15</v>
      </c>
      <c r="K196" s="5" t="s">
        <v>397</v>
      </c>
      <c r="L196" s="5">
        <v>4065069</v>
      </c>
    </row>
    <row r="197" spans="1:12" x14ac:dyDescent="0.25">
      <c r="A197" s="4">
        <v>46133</v>
      </c>
      <c r="B197" s="5" t="s">
        <v>237</v>
      </c>
      <c r="C197" s="6">
        <v>20</v>
      </c>
      <c r="D197" s="5" t="s">
        <v>13</v>
      </c>
      <c r="E197" s="5">
        <v>355.1</v>
      </c>
      <c r="F197" s="7">
        <f t="shared" si="9"/>
        <v>7102</v>
      </c>
      <c r="G197" s="7">
        <f t="shared" si="10"/>
        <v>1349.38</v>
      </c>
      <c r="H197" s="7">
        <f t="shared" si="11"/>
        <v>8451.380000000001</v>
      </c>
      <c r="I197" s="5" t="s">
        <v>167</v>
      </c>
      <c r="J197" s="5" t="s">
        <v>15</v>
      </c>
      <c r="K197" s="5" t="s">
        <v>397</v>
      </c>
      <c r="L197" s="5">
        <v>4065069</v>
      </c>
    </row>
    <row r="198" spans="1:12" x14ac:dyDescent="0.25">
      <c r="A198" s="4">
        <v>46133</v>
      </c>
      <c r="B198" s="5" t="s">
        <v>238</v>
      </c>
      <c r="C198" s="6">
        <v>40</v>
      </c>
      <c r="D198" s="5" t="s">
        <v>13</v>
      </c>
      <c r="E198" s="5">
        <v>984.5</v>
      </c>
      <c r="F198" s="7">
        <f t="shared" si="9"/>
        <v>39380</v>
      </c>
      <c r="G198" s="7">
        <f t="shared" si="10"/>
        <v>7482.2</v>
      </c>
      <c r="H198" s="7">
        <f t="shared" si="11"/>
        <v>46862.2</v>
      </c>
      <c r="I198" s="5" t="s">
        <v>167</v>
      </c>
      <c r="J198" s="5" t="s">
        <v>15</v>
      </c>
      <c r="K198" s="5" t="s">
        <v>397</v>
      </c>
      <c r="L198" s="5">
        <v>4065069</v>
      </c>
    </row>
    <row r="199" spans="1:12" x14ac:dyDescent="0.25">
      <c r="A199" s="4">
        <v>46133</v>
      </c>
      <c r="B199" s="5" t="s">
        <v>239</v>
      </c>
      <c r="C199" s="6">
        <v>5</v>
      </c>
      <c r="D199" s="5" t="s">
        <v>13</v>
      </c>
      <c r="E199" s="5">
        <v>288</v>
      </c>
      <c r="F199" s="7">
        <f t="shared" si="9"/>
        <v>1440</v>
      </c>
      <c r="G199" s="7">
        <f t="shared" si="10"/>
        <v>273.60000000000002</v>
      </c>
      <c r="H199" s="7">
        <f t="shared" si="11"/>
        <v>1713.6</v>
      </c>
      <c r="I199" s="5" t="s">
        <v>167</v>
      </c>
      <c r="J199" s="5" t="s">
        <v>15</v>
      </c>
      <c r="K199" s="5" t="s">
        <v>397</v>
      </c>
      <c r="L199" s="5">
        <v>4065069</v>
      </c>
    </row>
    <row r="200" spans="1:12" x14ac:dyDescent="0.25">
      <c r="A200" s="4">
        <v>46133</v>
      </c>
      <c r="B200" s="5" t="s">
        <v>240</v>
      </c>
      <c r="C200" s="6">
        <v>1</v>
      </c>
      <c r="D200" s="5" t="s">
        <v>13</v>
      </c>
      <c r="E200" s="5">
        <v>650</v>
      </c>
      <c r="F200" s="7">
        <f t="shared" si="9"/>
        <v>650</v>
      </c>
      <c r="G200" s="7">
        <f t="shared" si="10"/>
        <v>123.5</v>
      </c>
      <c r="H200" s="7">
        <f t="shared" si="11"/>
        <v>773.5</v>
      </c>
      <c r="I200" s="5" t="s">
        <v>167</v>
      </c>
      <c r="J200" s="5" t="s">
        <v>15</v>
      </c>
      <c r="K200" s="5" t="s">
        <v>397</v>
      </c>
      <c r="L200" s="5">
        <v>4065069</v>
      </c>
    </row>
    <row r="201" spans="1:12" x14ac:dyDescent="0.25">
      <c r="A201" s="4">
        <v>46133</v>
      </c>
      <c r="B201" s="5" t="s">
        <v>241</v>
      </c>
      <c r="C201" s="6">
        <v>36</v>
      </c>
      <c r="D201" s="5" t="s">
        <v>13</v>
      </c>
      <c r="E201" s="5">
        <v>34</v>
      </c>
      <c r="F201" s="7">
        <f t="shared" si="9"/>
        <v>1224</v>
      </c>
      <c r="G201" s="7">
        <f t="shared" si="10"/>
        <v>232.56</v>
      </c>
      <c r="H201" s="7">
        <f t="shared" si="11"/>
        <v>1456.56</v>
      </c>
      <c r="I201" s="5" t="s">
        <v>167</v>
      </c>
      <c r="J201" s="5" t="s">
        <v>15</v>
      </c>
      <c r="K201" s="5" t="s">
        <v>397</v>
      </c>
      <c r="L201" s="5">
        <v>4065069</v>
      </c>
    </row>
    <row r="202" spans="1:12" x14ac:dyDescent="0.25">
      <c r="A202" s="4">
        <v>46133</v>
      </c>
      <c r="B202" s="5" t="s">
        <v>242</v>
      </c>
      <c r="C202" s="6">
        <v>1</v>
      </c>
      <c r="D202" s="5" t="s">
        <v>13</v>
      </c>
      <c r="E202" s="5">
        <v>980</v>
      </c>
      <c r="F202" s="7">
        <f t="shared" si="9"/>
        <v>980</v>
      </c>
      <c r="G202" s="7">
        <f t="shared" si="10"/>
        <v>186.2</v>
      </c>
      <c r="H202" s="7">
        <f t="shared" si="11"/>
        <v>1166.2</v>
      </c>
      <c r="I202" s="5" t="s">
        <v>167</v>
      </c>
      <c r="J202" s="5" t="s">
        <v>15</v>
      </c>
      <c r="K202" s="5" t="s">
        <v>397</v>
      </c>
      <c r="L202" s="5">
        <v>4065069</v>
      </c>
    </row>
    <row r="203" spans="1:12" x14ac:dyDescent="0.25">
      <c r="A203" s="4">
        <v>46133</v>
      </c>
      <c r="B203" s="5" t="s">
        <v>243</v>
      </c>
      <c r="C203" s="6">
        <v>350</v>
      </c>
      <c r="D203" s="5" t="s">
        <v>13</v>
      </c>
      <c r="E203" s="5">
        <v>20</v>
      </c>
      <c r="F203" s="7">
        <f t="shared" si="9"/>
        <v>7000</v>
      </c>
      <c r="G203" s="7">
        <f t="shared" si="10"/>
        <v>1330</v>
      </c>
      <c r="H203" s="7">
        <f t="shared" si="11"/>
        <v>8330</v>
      </c>
      <c r="I203" s="5" t="s">
        <v>128</v>
      </c>
      <c r="J203" s="5" t="s">
        <v>15</v>
      </c>
      <c r="K203" s="5" t="s">
        <v>384</v>
      </c>
      <c r="L203" s="5">
        <v>4065068</v>
      </c>
    </row>
    <row r="204" spans="1:12" x14ac:dyDescent="0.25">
      <c r="A204" s="4">
        <v>46133</v>
      </c>
      <c r="B204" s="5" t="s">
        <v>244</v>
      </c>
      <c r="C204" s="6">
        <v>300</v>
      </c>
      <c r="D204" s="5" t="s">
        <v>13</v>
      </c>
      <c r="E204" s="5">
        <v>20</v>
      </c>
      <c r="F204" s="7">
        <f t="shared" si="9"/>
        <v>6000</v>
      </c>
      <c r="G204" s="7">
        <f t="shared" si="10"/>
        <v>1140</v>
      </c>
      <c r="H204" s="7">
        <f t="shared" si="11"/>
        <v>7140</v>
      </c>
      <c r="I204" s="5" t="s">
        <v>128</v>
      </c>
      <c r="J204" s="5" t="s">
        <v>15</v>
      </c>
      <c r="K204" s="5" t="s">
        <v>384</v>
      </c>
      <c r="L204" s="5">
        <v>4065068</v>
      </c>
    </row>
    <row r="205" spans="1:12" x14ac:dyDescent="0.25">
      <c r="A205" s="4">
        <v>46133</v>
      </c>
      <c r="B205" s="5" t="s">
        <v>245</v>
      </c>
      <c r="C205" s="6">
        <v>50</v>
      </c>
      <c r="D205" s="5" t="s">
        <v>13</v>
      </c>
      <c r="E205" s="5">
        <v>85</v>
      </c>
      <c r="F205" s="7">
        <f t="shared" si="9"/>
        <v>4250</v>
      </c>
      <c r="G205" s="7">
        <f t="shared" si="10"/>
        <v>807.5</v>
      </c>
      <c r="H205" s="7">
        <f t="shared" si="11"/>
        <v>5057.5</v>
      </c>
      <c r="I205" s="5" t="s">
        <v>128</v>
      </c>
      <c r="J205" s="5" t="s">
        <v>15</v>
      </c>
      <c r="K205" s="5" t="s">
        <v>384</v>
      </c>
      <c r="L205" s="5">
        <v>4065068</v>
      </c>
    </row>
    <row r="206" spans="1:12" x14ac:dyDescent="0.25">
      <c r="A206" s="4">
        <v>46133</v>
      </c>
      <c r="B206" s="5" t="s">
        <v>246</v>
      </c>
      <c r="C206" s="6">
        <v>30</v>
      </c>
      <c r="D206" s="5" t="s">
        <v>13</v>
      </c>
      <c r="E206" s="5">
        <v>155</v>
      </c>
      <c r="F206" s="7">
        <f t="shared" si="9"/>
        <v>4650</v>
      </c>
      <c r="G206" s="7">
        <f t="shared" si="10"/>
        <v>883.5</v>
      </c>
      <c r="H206" s="7">
        <f t="shared" si="11"/>
        <v>5533.5</v>
      </c>
      <c r="I206" s="5" t="s">
        <v>128</v>
      </c>
      <c r="J206" s="5" t="s">
        <v>15</v>
      </c>
      <c r="K206" s="5" t="s">
        <v>384</v>
      </c>
      <c r="L206" s="5">
        <v>4065068</v>
      </c>
    </row>
    <row r="207" spans="1:12" x14ac:dyDescent="0.25">
      <c r="A207" s="4">
        <v>46133</v>
      </c>
      <c r="B207" s="5" t="s">
        <v>247</v>
      </c>
      <c r="C207" s="6">
        <v>1</v>
      </c>
      <c r="D207" s="5" t="s">
        <v>13</v>
      </c>
      <c r="E207" s="5">
        <v>1950</v>
      </c>
      <c r="F207" s="7">
        <f t="shared" si="9"/>
        <v>1950</v>
      </c>
      <c r="G207" s="7">
        <f t="shared" si="10"/>
        <v>370.5</v>
      </c>
      <c r="H207" s="7">
        <f t="shared" si="11"/>
        <v>2320.5</v>
      </c>
      <c r="I207" s="5" t="s">
        <v>128</v>
      </c>
      <c r="J207" s="5" t="s">
        <v>15</v>
      </c>
      <c r="K207" s="5" t="s">
        <v>384</v>
      </c>
      <c r="L207" s="5">
        <v>4065068</v>
      </c>
    </row>
    <row r="208" spans="1:12" x14ac:dyDescent="0.25">
      <c r="A208" s="4">
        <v>46133</v>
      </c>
      <c r="B208" s="5" t="s">
        <v>248</v>
      </c>
      <c r="C208" s="6">
        <v>2</v>
      </c>
      <c r="D208" s="5" t="s">
        <v>13</v>
      </c>
      <c r="E208" s="5">
        <v>1750</v>
      </c>
      <c r="F208" s="7">
        <f t="shared" si="9"/>
        <v>3500</v>
      </c>
      <c r="G208" s="7">
        <f t="shared" si="10"/>
        <v>665</v>
      </c>
      <c r="H208" s="7">
        <f t="shared" si="11"/>
        <v>4165</v>
      </c>
      <c r="I208" s="5" t="s">
        <v>128</v>
      </c>
      <c r="J208" s="5" t="s">
        <v>15</v>
      </c>
      <c r="K208" s="5" t="s">
        <v>384</v>
      </c>
      <c r="L208" s="5">
        <v>4065068</v>
      </c>
    </row>
    <row r="209" spans="1:12" x14ac:dyDescent="0.25">
      <c r="A209" s="4">
        <v>46133</v>
      </c>
      <c r="B209" s="5" t="s">
        <v>249</v>
      </c>
      <c r="C209" s="6">
        <v>2</v>
      </c>
      <c r="D209" s="5" t="s">
        <v>13</v>
      </c>
      <c r="E209" s="5">
        <v>499.87</v>
      </c>
      <c r="F209" s="7">
        <f t="shared" si="9"/>
        <v>999.74</v>
      </c>
      <c r="G209" s="7">
        <f t="shared" si="10"/>
        <v>189.95060000000001</v>
      </c>
      <c r="H209" s="7">
        <f t="shared" si="11"/>
        <v>1189.6905999999999</v>
      </c>
      <c r="I209" s="5" t="s">
        <v>128</v>
      </c>
      <c r="J209" s="5" t="s">
        <v>15</v>
      </c>
      <c r="K209" s="5" t="s">
        <v>384</v>
      </c>
      <c r="L209" s="5">
        <v>4065068</v>
      </c>
    </row>
    <row r="210" spans="1:12" x14ac:dyDescent="0.25">
      <c r="A210" s="4">
        <v>46133</v>
      </c>
      <c r="B210" s="5" t="s">
        <v>250</v>
      </c>
      <c r="C210" s="6">
        <v>450</v>
      </c>
      <c r="D210" s="5" t="s">
        <v>13</v>
      </c>
      <c r="E210" s="5">
        <v>9</v>
      </c>
      <c r="F210" s="7">
        <f t="shared" si="9"/>
        <v>4050</v>
      </c>
      <c r="G210" s="7">
        <f t="shared" si="10"/>
        <v>769.5</v>
      </c>
      <c r="H210" s="7">
        <f t="shared" si="11"/>
        <v>4819.5</v>
      </c>
      <c r="I210" s="5" t="s">
        <v>128</v>
      </c>
      <c r="J210" s="5" t="s">
        <v>15</v>
      </c>
      <c r="K210" s="5" t="s">
        <v>384</v>
      </c>
      <c r="L210" s="5">
        <v>4065068</v>
      </c>
    </row>
    <row r="211" spans="1:12" s="31" customFormat="1" x14ac:dyDescent="0.25">
      <c r="A211" s="27">
        <v>46133</v>
      </c>
      <c r="B211" s="28" t="s">
        <v>251</v>
      </c>
      <c r="C211" s="29">
        <v>180</v>
      </c>
      <c r="D211" s="28" t="s">
        <v>130</v>
      </c>
      <c r="E211" s="28">
        <v>4621.8500000000004</v>
      </c>
      <c r="F211" s="30">
        <f t="shared" si="9"/>
        <v>831933.00000000012</v>
      </c>
      <c r="G211" s="30">
        <f t="shared" si="10"/>
        <v>158067.27000000002</v>
      </c>
      <c r="H211" s="30">
        <f t="shared" si="11"/>
        <v>990000.27000000014</v>
      </c>
      <c r="I211" s="28" t="s">
        <v>218</v>
      </c>
      <c r="J211" s="28" t="s">
        <v>15</v>
      </c>
      <c r="K211" s="51" t="s">
        <v>421</v>
      </c>
      <c r="L211" s="28">
        <v>4065056</v>
      </c>
    </row>
    <row r="212" spans="1:12" x14ac:dyDescent="0.25">
      <c r="A212" s="4">
        <v>46156</v>
      </c>
      <c r="B212" s="5" t="s">
        <v>217</v>
      </c>
      <c r="C212" s="6">
        <v>180</v>
      </c>
      <c r="D212" s="5" t="s">
        <v>212</v>
      </c>
      <c r="E212" s="5">
        <v>4621.8500000000004</v>
      </c>
      <c r="F212" s="7">
        <f t="shared" si="9"/>
        <v>831933.00000000012</v>
      </c>
      <c r="G212" s="7">
        <f t="shared" si="10"/>
        <v>158067.27000000002</v>
      </c>
      <c r="H212" s="7">
        <f t="shared" si="11"/>
        <v>990000.27000000014</v>
      </c>
      <c r="I212" s="5" t="s">
        <v>218</v>
      </c>
      <c r="J212" s="5" t="s">
        <v>15</v>
      </c>
      <c r="K212" s="5" t="s">
        <v>398</v>
      </c>
      <c r="L212" s="5">
        <v>4065056</v>
      </c>
    </row>
    <row r="213" spans="1:12" x14ac:dyDescent="0.25">
      <c r="A213" s="4">
        <v>46156</v>
      </c>
      <c r="B213" s="5" t="s">
        <v>252</v>
      </c>
      <c r="C213" s="6">
        <v>180</v>
      </c>
      <c r="D213" s="5" t="s">
        <v>13</v>
      </c>
      <c r="E213" s="5">
        <v>4621.8500000000004</v>
      </c>
      <c r="F213" s="7">
        <f t="shared" si="9"/>
        <v>831933.00000000012</v>
      </c>
      <c r="G213" s="7">
        <f t="shared" si="10"/>
        <v>158067.27000000002</v>
      </c>
      <c r="H213" s="7">
        <f t="shared" si="11"/>
        <v>990000.27000000014</v>
      </c>
      <c r="I213" s="5" t="s">
        <v>218</v>
      </c>
      <c r="J213" s="5" t="s">
        <v>15</v>
      </c>
      <c r="K213" s="5" t="s">
        <v>398</v>
      </c>
      <c r="L213" s="5">
        <v>4065056</v>
      </c>
    </row>
    <row r="214" spans="1:12" x14ac:dyDescent="0.25">
      <c r="A214" s="4">
        <v>46180</v>
      </c>
      <c r="B214" s="5" t="s">
        <v>253</v>
      </c>
      <c r="C214" s="6">
        <v>20</v>
      </c>
      <c r="D214" s="5" t="s">
        <v>130</v>
      </c>
      <c r="E214" s="5">
        <v>420.17</v>
      </c>
      <c r="F214" s="7">
        <f t="shared" si="9"/>
        <v>8403.4</v>
      </c>
      <c r="G214" s="7">
        <f t="shared" si="10"/>
        <v>1596.646</v>
      </c>
      <c r="H214" s="7">
        <f t="shared" si="11"/>
        <v>10000.046</v>
      </c>
      <c r="I214" s="5" t="s">
        <v>254</v>
      </c>
      <c r="J214" s="5" t="s">
        <v>15</v>
      </c>
      <c r="K214" s="5" t="s">
        <v>255</v>
      </c>
      <c r="L214" s="5">
        <v>4065116</v>
      </c>
    </row>
    <row r="215" spans="1:12" x14ac:dyDescent="0.25">
      <c r="A215" s="4">
        <v>46180</v>
      </c>
      <c r="B215" s="5" t="s">
        <v>256</v>
      </c>
      <c r="C215" s="6">
        <v>126</v>
      </c>
      <c r="D215" s="5" t="s">
        <v>257</v>
      </c>
      <c r="E215" s="5">
        <v>2394.96</v>
      </c>
      <c r="F215" s="7">
        <f t="shared" si="9"/>
        <v>301764.96000000002</v>
      </c>
      <c r="G215" s="7">
        <f t="shared" si="10"/>
        <v>57335.342400000001</v>
      </c>
      <c r="H215" s="7">
        <f t="shared" si="11"/>
        <v>359100.30240000004</v>
      </c>
      <c r="I215" s="5" t="s">
        <v>254</v>
      </c>
      <c r="J215" s="5" t="s">
        <v>15</v>
      </c>
      <c r="K215" s="5" t="s">
        <v>255</v>
      </c>
      <c r="L215" s="5">
        <v>4065116</v>
      </c>
    </row>
    <row r="216" spans="1:12" x14ac:dyDescent="0.25">
      <c r="A216" s="4">
        <v>46182</v>
      </c>
      <c r="B216" s="5" t="s">
        <v>258</v>
      </c>
      <c r="C216" s="6">
        <v>400</v>
      </c>
      <c r="D216" s="5" t="s">
        <v>100</v>
      </c>
      <c r="E216" s="5">
        <v>525</v>
      </c>
      <c r="F216" s="7">
        <f t="shared" si="9"/>
        <v>210000</v>
      </c>
      <c r="G216" s="7">
        <f t="shared" si="10"/>
        <v>39900</v>
      </c>
      <c r="H216" s="7">
        <f t="shared" si="11"/>
        <v>249900</v>
      </c>
      <c r="I216" s="5" t="s">
        <v>259</v>
      </c>
      <c r="J216" s="5" t="s">
        <v>15</v>
      </c>
      <c r="K216" s="5" t="s">
        <v>385</v>
      </c>
      <c r="L216" s="5">
        <v>4065117</v>
      </c>
    </row>
    <row r="217" spans="1:12" x14ac:dyDescent="0.25">
      <c r="A217" s="4">
        <v>46195</v>
      </c>
      <c r="B217" s="5" t="s">
        <v>260</v>
      </c>
      <c r="C217" s="6">
        <v>17</v>
      </c>
      <c r="D217" s="5" t="s">
        <v>261</v>
      </c>
      <c r="E217" s="5">
        <v>11340</v>
      </c>
      <c r="F217" s="7">
        <f t="shared" si="9"/>
        <v>192780</v>
      </c>
      <c r="G217" s="7">
        <f t="shared" si="10"/>
        <v>36628.199999999997</v>
      </c>
      <c r="H217" s="7">
        <f t="shared" si="11"/>
        <v>229408.2</v>
      </c>
      <c r="I217" s="5" t="s">
        <v>128</v>
      </c>
      <c r="J217" s="5" t="s">
        <v>15</v>
      </c>
      <c r="K217" s="5" t="s">
        <v>386</v>
      </c>
      <c r="L217" s="5">
        <v>4065140</v>
      </c>
    </row>
    <row r="218" spans="1:12" x14ac:dyDescent="0.25">
      <c r="A218" s="4">
        <v>46195</v>
      </c>
      <c r="B218" s="5" t="s">
        <v>262</v>
      </c>
      <c r="C218" s="6">
        <v>20</v>
      </c>
      <c r="D218" s="5" t="s">
        <v>261</v>
      </c>
      <c r="E218" s="5">
        <v>8800</v>
      </c>
      <c r="F218" s="7">
        <f t="shared" si="9"/>
        <v>176000</v>
      </c>
      <c r="G218" s="7">
        <f t="shared" si="10"/>
        <v>33440</v>
      </c>
      <c r="H218" s="7">
        <f t="shared" si="11"/>
        <v>209440</v>
      </c>
      <c r="I218" s="5" t="s">
        <v>128</v>
      </c>
      <c r="J218" s="5" t="s">
        <v>15</v>
      </c>
      <c r="K218" s="5" t="s">
        <v>386</v>
      </c>
      <c r="L218" s="5">
        <v>4065140</v>
      </c>
    </row>
    <row r="219" spans="1:12" x14ac:dyDescent="0.25">
      <c r="A219" s="4">
        <v>46195</v>
      </c>
      <c r="B219" s="5" t="s">
        <v>263</v>
      </c>
      <c r="C219" s="6">
        <v>20</v>
      </c>
      <c r="D219" s="5" t="s">
        <v>261</v>
      </c>
      <c r="E219" s="5">
        <v>7900</v>
      </c>
      <c r="F219" s="7">
        <f t="shared" si="9"/>
        <v>158000</v>
      </c>
      <c r="G219" s="7">
        <f t="shared" si="10"/>
        <v>30020</v>
      </c>
      <c r="H219" s="7">
        <f t="shared" si="11"/>
        <v>188020</v>
      </c>
      <c r="I219" s="5" t="s">
        <v>128</v>
      </c>
      <c r="J219" s="5" t="s">
        <v>15</v>
      </c>
      <c r="K219" s="5" t="s">
        <v>386</v>
      </c>
      <c r="L219" s="5">
        <v>4065140</v>
      </c>
    </row>
    <row r="220" spans="1:12" x14ac:dyDescent="0.25">
      <c r="A220" s="4">
        <v>46214</v>
      </c>
      <c r="B220" s="5" t="s">
        <v>264</v>
      </c>
      <c r="C220" s="6">
        <v>1</v>
      </c>
      <c r="D220" s="5" t="s">
        <v>100</v>
      </c>
      <c r="E220" s="5">
        <v>348000</v>
      </c>
      <c r="F220" s="7">
        <f t="shared" si="9"/>
        <v>348000</v>
      </c>
      <c r="G220" s="7">
        <f t="shared" si="10"/>
        <v>66120</v>
      </c>
      <c r="H220" s="7">
        <f t="shared" si="11"/>
        <v>414120</v>
      </c>
      <c r="I220" s="5" t="s">
        <v>178</v>
      </c>
      <c r="J220" s="5" t="s">
        <v>15</v>
      </c>
      <c r="K220" s="5" t="s">
        <v>265</v>
      </c>
      <c r="L220" s="5">
        <v>4065175</v>
      </c>
    </row>
    <row r="221" spans="1:12" x14ac:dyDescent="0.25">
      <c r="A221" s="4">
        <v>46214</v>
      </c>
      <c r="B221" s="5" t="s">
        <v>266</v>
      </c>
      <c r="C221" s="6">
        <v>1</v>
      </c>
      <c r="D221" s="5" t="s">
        <v>100</v>
      </c>
      <c r="E221" s="5">
        <v>680</v>
      </c>
      <c r="F221" s="7">
        <f t="shared" si="9"/>
        <v>680</v>
      </c>
      <c r="G221" s="7">
        <f t="shared" si="10"/>
        <v>129.19999999999999</v>
      </c>
      <c r="H221" s="7">
        <f t="shared" si="11"/>
        <v>809.2</v>
      </c>
      <c r="I221" s="5" t="s">
        <v>178</v>
      </c>
      <c r="J221" s="5" t="s">
        <v>15</v>
      </c>
      <c r="K221" s="5" t="s">
        <v>265</v>
      </c>
      <c r="L221" s="5">
        <v>4065175</v>
      </c>
    </row>
    <row r="222" spans="1:12" x14ac:dyDescent="0.25">
      <c r="A222" s="4">
        <v>46173</v>
      </c>
      <c r="B222" s="5" t="s">
        <v>267</v>
      </c>
      <c r="C222" s="6">
        <v>2</v>
      </c>
      <c r="D222" s="5" t="s">
        <v>100</v>
      </c>
      <c r="E222" s="5">
        <v>4033.613445</v>
      </c>
      <c r="F222" s="7">
        <f t="shared" si="9"/>
        <v>8067.2268899999999</v>
      </c>
      <c r="G222" s="7">
        <f t="shared" si="10"/>
        <v>1532.7731091000001</v>
      </c>
      <c r="H222" s="7">
        <f t="shared" si="11"/>
        <v>9599.9999991000004</v>
      </c>
      <c r="I222" s="5" t="s">
        <v>167</v>
      </c>
      <c r="J222" s="5" t="s">
        <v>15</v>
      </c>
      <c r="K222" s="5" t="s">
        <v>268</v>
      </c>
      <c r="L222" s="5">
        <v>4065162</v>
      </c>
    </row>
    <row r="223" spans="1:12" x14ac:dyDescent="0.25">
      <c r="A223" s="4">
        <v>46173</v>
      </c>
      <c r="B223" s="5" t="s">
        <v>269</v>
      </c>
      <c r="C223" s="6">
        <v>18</v>
      </c>
      <c r="D223" s="5" t="s">
        <v>100</v>
      </c>
      <c r="E223" s="5">
        <v>388.23529400000001</v>
      </c>
      <c r="F223" s="7">
        <f t="shared" si="9"/>
        <v>6988.2352920000003</v>
      </c>
      <c r="G223" s="7">
        <f t="shared" si="10"/>
        <v>1327.76470548</v>
      </c>
      <c r="H223" s="7">
        <f t="shared" si="11"/>
        <v>8315.9999974800012</v>
      </c>
      <c r="I223" s="5" t="s">
        <v>167</v>
      </c>
      <c r="J223" s="5" t="s">
        <v>15</v>
      </c>
      <c r="K223" s="5" t="s">
        <v>268</v>
      </c>
      <c r="L223" s="5">
        <v>4065162</v>
      </c>
    </row>
    <row r="224" spans="1:12" x14ac:dyDescent="0.25">
      <c r="A224" s="4">
        <v>46173</v>
      </c>
      <c r="B224" s="5" t="s">
        <v>270</v>
      </c>
      <c r="C224" s="6">
        <v>20</v>
      </c>
      <c r="D224" s="5" t="s">
        <v>100</v>
      </c>
      <c r="E224" s="5">
        <v>84.033613000000003</v>
      </c>
      <c r="F224" s="7">
        <f t="shared" si="9"/>
        <v>1680.6722600000001</v>
      </c>
      <c r="G224" s="7">
        <f t="shared" si="10"/>
        <v>319.32772940000001</v>
      </c>
      <c r="H224" s="7">
        <f t="shared" si="11"/>
        <v>1999.9999894</v>
      </c>
      <c r="I224" s="5" t="s">
        <v>167</v>
      </c>
      <c r="J224" s="5" t="s">
        <v>15</v>
      </c>
      <c r="K224" s="5" t="s">
        <v>268</v>
      </c>
      <c r="L224" s="5">
        <v>4065162</v>
      </c>
    </row>
    <row r="225" spans="1:12" x14ac:dyDescent="0.25">
      <c r="A225" s="4">
        <v>46173</v>
      </c>
      <c r="B225" s="5" t="s">
        <v>271</v>
      </c>
      <c r="C225" s="6">
        <v>8</v>
      </c>
      <c r="D225" s="5" t="s">
        <v>100</v>
      </c>
      <c r="E225" s="5">
        <v>285.71428600000002</v>
      </c>
      <c r="F225" s="7">
        <f t="shared" si="9"/>
        <v>2285.7142880000001</v>
      </c>
      <c r="G225" s="7">
        <f t="shared" si="10"/>
        <v>434.28571472000004</v>
      </c>
      <c r="H225" s="7">
        <f t="shared" si="11"/>
        <v>2720.0000027200003</v>
      </c>
      <c r="I225" s="5" t="s">
        <v>167</v>
      </c>
      <c r="J225" s="5" t="s">
        <v>15</v>
      </c>
      <c r="K225" s="5" t="s">
        <v>268</v>
      </c>
      <c r="L225" s="5">
        <v>4065162</v>
      </c>
    </row>
    <row r="226" spans="1:12" x14ac:dyDescent="0.25">
      <c r="A226" s="4">
        <v>46173</v>
      </c>
      <c r="B226" s="5" t="s">
        <v>272</v>
      </c>
      <c r="C226" s="6">
        <v>12</v>
      </c>
      <c r="D226" s="5" t="s">
        <v>100</v>
      </c>
      <c r="E226" s="5">
        <v>210.084034</v>
      </c>
      <c r="F226" s="7">
        <f t="shared" si="9"/>
        <v>2521.0084080000001</v>
      </c>
      <c r="G226" s="7">
        <f t="shared" si="10"/>
        <v>478.99159752000003</v>
      </c>
      <c r="H226" s="7">
        <f t="shared" si="11"/>
        <v>3000.0000055200003</v>
      </c>
      <c r="I226" s="5" t="s">
        <v>167</v>
      </c>
      <c r="J226" s="5" t="s">
        <v>15</v>
      </c>
      <c r="K226" s="5" t="s">
        <v>268</v>
      </c>
      <c r="L226" s="5">
        <v>4065162</v>
      </c>
    </row>
    <row r="227" spans="1:12" x14ac:dyDescent="0.25">
      <c r="A227" s="4">
        <v>46173</v>
      </c>
      <c r="B227" s="5" t="s">
        <v>273</v>
      </c>
      <c r="C227" s="6">
        <v>8</v>
      </c>
      <c r="D227" s="5" t="s">
        <v>100</v>
      </c>
      <c r="E227" s="5">
        <v>326.05041999999997</v>
      </c>
      <c r="F227" s="7">
        <f t="shared" si="9"/>
        <v>2608.4033599999998</v>
      </c>
      <c r="G227" s="7">
        <f t="shared" si="10"/>
        <v>495.59663839999996</v>
      </c>
      <c r="H227" s="7">
        <f t="shared" si="11"/>
        <v>3103.9999983999996</v>
      </c>
      <c r="I227" s="5" t="s">
        <v>167</v>
      </c>
      <c r="J227" s="5" t="s">
        <v>15</v>
      </c>
      <c r="K227" s="5" t="s">
        <v>268</v>
      </c>
      <c r="L227" s="5">
        <v>4065162</v>
      </c>
    </row>
    <row r="228" spans="1:12" x14ac:dyDescent="0.25">
      <c r="A228" s="4">
        <v>46173</v>
      </c>
      <c r="B228" s="5" t="s">
        <v>274</v>
      </c>
      <c r="C228" s="6">
        <v>8</v>
      </c>
      <c r="D228" s="5" t="s">
        <v>100</v>
      </c>
      <c r="E228" s="5">
        <v>453.78151300000002</v>
      </c>
      <c r="F228" s="7">
        <f t="shared" si="9"/>
        <v>3630.2521040000001</v>
      </c>
      <c r="G228" s="7">
        <f t="shared" si="10"/>
        <v>689.74789976</v>
      </c>
      <c r="H228" s="7">
        <f t="shared" si="11"/>
        <v>4320.0000037600003</v>
      </c>
      <c r="I228" s="5" t="s">
        <v>167</v>
      </c>
      <c r="J228" s="5" t="s">
        <v>15</v>
      </c>
      <c r="K228" s="5" t="s">
        <v>268</v>
      </c>
      <c r="L228" s="5">
        <v>4065162</v>
      </c>
    </row>
    <row r="229" spans="1:12" x14ac:dyDescent="0.25">
      <c r="A229" s="4">
        <v>46173</v>
      </c>
      <c r="B229" s="5" t="s">
        <v>275</v>
      </c>
      <c r="C229" s="6">
        <v>12</v>
      </c>
      <c r="D229" s="5" t="s">
        <v>100</v>
      </c>
      <c r="E229" s="5">
        <v>361.36134399999997</v>
      </c>
      <c r="F229" s="7">
        <f t="shared" si="9"/>
        <v>4336.3361279999999</v>
      </c>
      <c r="G229" s="7">
        <f t="shared" si="10"/>
        <v>823.90386432000003</v>
      </c>
      <c r="H229" s="7">
        <f t="shared" si="11"/>
        <v>5160.2399923200001</v>
      </c>
      <c r="I229" s="5" t="s">
        <v>167</v>
      </c>
      <c r="J229" s="5" t="s">
        <v>15</v>
      </c>
      <c r="K229" s="5" t="s">
        <v>268</v>
      </c>
      <c r="L229" s="5">
        <v>4065162</v>
      </c>
    </row>
    <row r="230" spans="1:12" x14ac:dyDescent="0.25">
      <c r="A230" s="4">
        <v>46173</v>
      </c>
      <c r="B230" s="5" t="s">
        <v>276</v>
      </c>
      <c r="C230" s="6">
        <v>5</v>
      </c>
      <c r="D230" s="5" t="s">
        <v>100</v>
      </c>
      <c r="E230" s="5">
        <v>4243.747899</v>
      </c>
      <c r="F230" s="7">
        <f t="shared" si="9"/>
        <v>21218.739495000002</v>
      </c>
      <c r="G230" s="7">
        <f t="shared" si="10"/>
        <v>4031.5605040500004</v>
      </c>
      <c r="H230" s="7">
        <f t="shared" si="11"/>
        <v>25250.299999050003</v>
      </c>
      <c r="I230" s="5" t="s">
        <v>167</v>
      </c>
      <c r="J230" s="5" t="s">
        <v>15</v>
      </c>
      <c r="K230" s="5" t="s">
        <v>268</v>
      </c>
      <c r="L230" s="5">
        <v>4065162</v>
      </c>
    </row>
    <row r="231" spans="1:12" x14ac:dyDescent="0.25">
      <c r="A231" s="4">
        <v>46173</v>
      </c>
      <c r="B231" s="5" t="s">
        <v>277</v>
      </c>
      <c r="C231" s="6">
        <v>5</v>
      </c>
      <c r="D231" s="5" t="s">
        <v>100</v>
      </c>
      <c r="E231" s="5">
        <v>7857.1428569999998</v>
      </c>
      <c r="F231" s="7">
        <f t="shared" si="9"/>
        <v>39285.714285000002</v>
      </c>
      <c r="G231" s="7">
        <f t="shared" si="10"/>
        <v>7464.2857141500008</v>
      </c>
      <c r="H231" s="7">
        <f t="shared" si="11"/>
        <v>46749.999999150001</v>
      </c>
      <c r="I231" s="5" t="s">
        <v>167</v>
      </c>
      <c r="J231" s="5" t="s">
        <v>15</v>
      </c>
      <c r="K231" s="5" t="s">
        <v>268</v>
      </c>
      <c r="L231" s="5">
        <v>4065162</v>
      </c>
    </row>
    <row r="232" spans="1:12" x14ac:dyDescent="0.25">
      <c r="A232" s="4">
        <v>46173</v>
      </c>
      <c r="B232" s="5" t="s">
        <v>278</v>
      </c>
      <c r="C232" s="6">
        <v>10</v>
      </c>
      <c r="D232" s="5" t="s">
        <v>100</v>
      </c>
      <c r="E232" s="5">
        <v>326.05041999999997</v>
      </c>
      <c r="F232" s="7">
        <f t="shared" si="9"/>
        <v>3260.5041999999999</v>
      </c>
      <c r="G232" s="7">
        <f t="shared" si="10"/>
        <v>619.49579800000004</v>
      </c>
      <c r="H232" s="7">
        <f t="shared" si="11"/>
        <v>3879.9999979999998</v>
      </c>
      <c r="I232" s="5" t="s">
        <v>167</v>
      </c>
      <c r="J232" s="5" t="s">
        <v>15</v>
      </c>
      <c r="K232" s="5" t="s">
        <v>268</v>
      </c>
      <c r="L232" s="5">
        <v>4065162</v>
      </c>
    </row>
    <row r="233" spans="1:12" x14ac:dyDescent="0.25">
      <c r="A233" s="4">
        <v>46173</v>
      </c>
      <c r="B233" s="5" t="s">
        <v>279</v>
      </c>
      <c r="C233" s="6">
        <v>2</v>
      </c>
      <c r="D233" s="5" t="s">
        <v>100</v>
      </c>
      <c r="E233" s="5">
        <v>388.23529400000001</v>
      </c>
      <c r="F233" s="7">
        <f t="shared" si="9"/>
        <v>776.47058800000002</v>
      </c>
      <c r="G233" s="7">
        <f t="shared" si="10"/>
        <v>147.52941172000001</v>
      </c>
      <c r="H233" s="7">
        <f t="shared" si="11"/>
        <v>923.99999972000001</v>
      </c>
      <c r="I233" s="5" t="s">
        <v>167</v>
      </c>
      <c r="J233" s="5" t="s">
        <v>15</v>
      </c>
      <c r="K233" s="5" t="s">
        <v>268</v>
      </c>
      <c r="L233" s="5">
        <v>4065162</v>
      </c>
    </row>
    <row r="234" spans="1:12" x14ac:dyDescent="0.25">
      <c r="A234" s="4">
        <v>46173</v>
      </c>
      <c r="B234" s="5" t="s">
        <v>280</v>
      </c>
      <c r="C234" s="6">
        <v>1</v>
      </c>
      <c r="D234" s="5" t="s">
        <v>100</v>
      </c>
      <c r="E234" s="5">
        <v>5184.8739500000001</v>
      </c>
      <c r="F234" s="7">
        <f t="shared" si="9"/>
        <v>5184.8739500000001</v>
      </c>
      <c r="G234" s="7">
        <f t="shared" si="10"/>
        <v>985.12605050000002</v>
      </c>
      <c r="H234" s="7">
        <f t="shared" si="11"/>
        <v>6170.0000005000002</v>
      </c>
      <c r="I234" s="5" t="s">
        <v>167</v>
      </c>
      <c r="J234" s="5" t="s">
        <v>15</v>
      </c>
      <c r="K234" s="5" t="s">
        <v>268</v>
      </c>
      <c r="L234" s="5">
        <v>4065162</v>
      </c>
    </row>
    <row r="235" spans="1:12" x14ac:dyDescent="0.25">
      <c r="A235" s="4">
        <v>46173</v>
      </c>
      <c r="B235" s="5" t="s">
        <v>281</v>
      </c>
      <c r="C235" s="6">
        <v>12</v>
      </c>
      <c r="D235" s="5" t="s">
        <v>100</v>
      </c>
      <c r="E235" s="5">
        <v>264.70588199999997</v>
      </c>
      <c r="F235" s="7">
        <f t="shared" si="9"/>
        <v>3176.4705839999997</v>
      </c>
      <c r="G235" s="7">
        <f t="shared" si="10"/>
        <v>603.52941095999995</v>
      </c>
      <c r="H235" s="7">
        <f t="shared" si="11"/>
        <v>3779.9999949599996</v>
      </c>
      <c r="I235" s="5" t="s">
        <v>167</v>
      </c>
      <c r="J235" s="5" t="s">
        <v>15</v>
      </c>
      <c r="K235" s="5" t="s">
        <v>268</v>
      </c>
      <c r="L235" s="5">
        <v>4065162</v>
      </c>
    </row>
    <row r="236" spans="1:12" x14ac:dyDescent="0.25">
      <c r="A236" s="4">
        <v>46173</v>
      </c>
      <c r="B236" s="5" t="s">
        <v>282</v>
      </c>
      <c r="C236" s="6">
        <v>60</v>
      </c>
      <c r="D236" s="5" t="s">
        <v>100</v>
      </c>
      <c r="E236" s="5">
        <v>40.336134000000001</v>
      </c>
      <c r="F236" s="7">
        <f t="shared" si="9"/>
        <v>2420.16804</v>
      </c>
      <c r="G236" s="7">
        <f t="shared" si="10"/>
        <v>459.83192760000003</v>
      </c>
      <c r="H236" s="7">
        <f t="shared" si="11"/>
        <v>2879.9999676000002</v>
      </c>
      <c r="I236" s="5" t="s">
        <v>167</v>
      </c>
      <c r="J236" s="5" t="s">
        <v>15</v>
      </c>
      <c r="K236" s="5" t="s">
        <v>268</v>
      </c>
      <c r="L236" s="5">
        <v>4065162</v>
      </c>
    </row>
    <row r="237" spans="1:12" x14ac:dyDescent="0.25">
      <c r="A237" s="4">
        <v>46173</v>
      </c>
      <c r="B237" s="5" t="s">
        <v>283</v>
      </c>
      <c r="C237" s="6">
        <v>6</v>
      </c>
      <c r="D237" s="5" t="s">
        <v>100</v>
      </c>
      <c r="E237" s="5">
        <v>5210.085</v>
      </c>
      <c r="F237" s="7">
        <f t="shared" si="9"/>
        <v>31260.510000000002</v>
      </c>
      <c r="G237" s="7">
        <f t="shared" si="10"/>
        <v>5939.4969000000001</v>
      </c>
      <c r="H237" s="7">
        <f t="shared" si="11"/>
        <v>37200.0069</v>
      </c>
      <c r="I237" s="5" t="s">
        <v>167</v>
      </c>
      <c r="J237" s="5" t="s">
        <v>15</v>
      </c>
      <c r="K237" s="5" t="s">
        <v>268</v>
      </c>
      <c r="L237" s="5">
        <v>4065162</v>
      </c>
    </row>
    <row r="238" spans="1:12" s="55" customFormat="1" x14ac:dyDescent="0.25">
      <c r="A238" s="52">
        <v>46027</v>
      </c>
      <c r="B238" s="51" t="s">
        <v>284</v>
      </c>
      <c r="C238" s="53">
        <v>5</v>
      </c>
      <c r="D238" s="51" t="s">
        <v>13</v>
      </c>
      <c r="E238" s="51">
        <v>45400</v>
      </c>
      <c r="F238" s="54">
        <f t="shared" si="9"/>
        <v>227000</v>
      </c>
      <c r="G238" s="54">
        <f t="shared" si="10"/>
        <v>43130</v>
      </c>
      <c r="H238" s="54">
        <f t="shared" si="11"/>
        <v>270130</v>
      </c>
      <c r="I238" s="51" t="s">
        <v>128</v>
      </c>
      <c r="J238" s="51" t="s">
        <v>285</v>
      </c>
      <c r="K238" s="51" t="s">
        <v>425</v>
      </c>
      <c r="L238" s="51">
        <v>4065511</v>
      </c>
    </row>
    <row r="239" spans="1:12" x14ac:dyDescent="0.25">
      <c r="A239" s="4">
        <v>46068</v>
      </c>
      <c r="B239" s="5" t="s">
        <v>286</v>
      </c>
      <c r="C239" s="6">
        <v>170</v>
      </c>
      <c r="D239" s="5" t="s">
        <v>287</v>
      </c>
      <c r="E239" s="5">
        <v>7700</v>
      </c>
      <c r="F239" s="7">
        <f t="shared" si="9"/>
        <v>1309000</v>
      </c>
      <c r="G239" s="7">
        <f t="shared" si="10"/>
        <v>248710</v>
      </c>
      <c r="H239" s="7">
        <f t="shared" si="11"/>
        <v>1557710</v>
      </c>
      <c r="I239" s="5" t="s">
        <v>288</v>
      </c>
      <c r="J239" s="5" t="s">
        <v>285</v>
      </c>
      <c r="K239" s="5" t="s">
        <v>399</v>
      </c>
      <c r="L239" s="5">
        <v>4065501</v>
      </c>
    </row>
    <row r="240" spans="1:12" x14ac:dyDescent="0.25">
      <c r="A240" s="4">
        <v>46075</v>
      </c>
      <c r="B240" s="5" t="s">
        <v>290</v>
      </c>
      <c r="C240" s="6">
        <v>100</v>
      </c>
      <c r="D240" s="5" t="s">
        <v>13</v>
      </c>
      <c r="E240" s="5">
        <v>3200</v>
      </c>
      <c r="F240" s="7">
        <f t="shared" si="9"/>
        <v>320000</v>
      </c>
      <c r="G240" s="7">
        <f t="shared" si="10"/>
        <v>60800</v>
      </c>
      <c r="H240" s="7">
        <f t="shared" si="11"/>
        <v>380800</v>
      </c>
      <c r="I240" s="5" t="s">
        <v>291</v>
      </c>
      <c r="J240" s="5" t="s">
        <v>285</v>
      </c>
      <c r="K240" s="5" t="s">
        <v>387</v>
      </c>
      <c r="L240" s="5">
        <v>4065520</v>
      </c>
    </row>
    <row r="241" spans="1:12" x14ac:dyDescent="0.25">
      <c r="A241" s="4">
        <v>46079</v>
      </c>
      <c r="B241" s="5" t="s">
        <v>292</v>
      </c>
      <c r="C241" s="6">
        <v>62000</v>
      </c>
      <c r="D241" s="5" t="s">
        <v>104</v>
      </c>
      <c r="E241" s="5">
        <v>97.48</v>
      </c>
      <c r="F241" s="7">
        <f t="shared" si="9"/>
        <v>6043760</v>
      </c>
      <c r="G241" s="7">
        <f t="shared" si="10"/>
        <v>1148314.3999999999</v>
      </c>
      <c r="H241" s="7">
        <f t="shared" si="11"/>
        <v>7192074.4000000004</v>
      </c>
      <c r="I241" s="5" t="s">
        <v>293</v>
      </c>
      <c r="J241" s="5" t="s">
        <v>285</v>
      </c>
      <c r="K241" s="5" t="s">
        <v>400</v>
      </c>
      <c r="L241" s="5">
        <v>4065525</v>
      </c>
    </row>
    <row r="242" spans="1:12" x14ac:dyDescent="0.25">
      <c r="A242" s="4">
        <v>46110</v>
      </c>
      <c r="B242" s="5" t="s">
        <v>286</v>
      </c>
      <c r="C242" s="6">
        <v>716</v>
      </c>
      <c r="D242" s="5" t="s">
        <v>287</v>
      </c>
      <c r="E242" s="5">
        <v>7700</v>
      </c>
      <c r="F242" s="7">
        <f t="shared" si="9"/>
        <v>5513200</v>
      </c>
      <c r="G242" s="7">
        <f t="shared" si="10"/>
        <v>1047508</v>
      </c>
      <c r="H242" s="7">
        <f t="shared" si="11"/>
        <v>6560708</v>
      </c>
      <c r="I242" s="5" t="s">
        <v>288</v>
      </c>
      <c r="J242" s="5" t="s">
        <v>285</v>
      </c>
      <c r="K242" s="5" t="s">
        <v>401</v>
      </c>
      <c r="L242" s="5">
        <v>4065422</v>
      </c>
    </row>
    <row r="243" spans="1:12" x14ac:dyDescent="0.25">
      <c r="A243" s="4">
        <v>46111</v>
      </c>
      <c r="B243" s="5" t="s">
        <v>296</v>
      </c>
      <c r="C243" s="6">
        <v>1</v>
      </c>
      <c r="D243" s="5" t="s">
        <v>13</v>
      </c>
      <c r="E243" s="5">
        <v>25000</v>
      </c>
      <c r="F243" s="7">
        <f t="shared" si="9"/>
        <v>25000</v>
      </c>
      <c r="G243" s="7">
        <f t="shared" si="10"/>
        <v>4750</v>
      </c>
      <c r="H243" s="7">
        <f t="shared" si="11"/>
        <v>29750</v>
      </c>
      <c r="I243" s="5" t="s">
        <v>297</v>
      </c>
      <c r="J243" s="5" t="s">
        <v>285</v>
      </c>
      <c r="K243" s="5" t="s">
        <v>298</v>
      </c>
      <c r="L243" s="5">
        <v>4065424</v>
      </c>
    </row>
    <row r="244" spans="1:12" s="31" customFormat="1" x14ac:dyDescent="0.25">
      <c r="A244" s="27">
        <v>46125</v>
      </c>
      <c r="B244" s="28" t="s">
        <v>286</v>
      </c>
      <c r="C244" s="29">
        <v>512.5</v>
      </c>
      <c r="D244" s="28" t="s">
        <v>287</v>
      </c>
      <c r="E244" s="28">
        <v>7700</v>
      </c>
      <c r="F244" s="30">
        <f t="shared" si="9"/>
        <v>3946250</v>
      </c>
      <c r="G244" s="30">
        <f t="shared" si="10"/>
        <v>749787.5</v>
      </c>
      <c r="H244" s="30">
        <f t="shared" si="11"/>
        <v>4696037.5</v>
      </c>
      <c r="I244" s="28" t="s">
        <v>288</v>
      </c>
      <c r="J244" s="28" t="s">
        <v>285</v>
      </c>
      <c r="K244" s="28" t="s">
        <v>402</v>
      </c>
      <c r="L244" s="28">
        <v>4065438</v>
      </c>
    </row>
    <row r="245" spans="1:12" s="31" customFormat="1" x14ac:dyDescent="0.25">
      <c r="A245" s="27">
        <v>46132</v>
      </c>
      <c r="B245" s="28" t="s">
        <v>286</v>
      </c>
      <c r="C245" s="29">
        <v>593</v>
      </c>
      <c r="D245" s="28" t="s">
        <v>287</v>
      </c>
      <c r="E245" s="28">
        <v>7700</v>
      </c>
      <c r="F245" s="30">
        <f t="shared" si="9"/>
        <v>4566100</v>
      </c>
      <c r="G245" s="30">
        <f t="shared" si="10"/>
        <v>867559</v>
      </c>
      <c r="H245" s="30">
        <f t="shared" si="11"/>
        <v>5433659</v>
      </c>
      <c r="I245" s="28" t="s">
        <v>288</v>
      </c>
      <c r="J245" s="28" t="s">
        <v>285</v>
      </c>
      <c r="K245" s="28" t="s">
        <v>403</v>
      </c>
      <c r="L245" s="28">
        <v>4065447</v>
      </c>
    </row>
    <row r="246" spans="1:12" s="31" customFormat="1" x14ac:dyDescent="0.25">
      <c r="A246" s="27">
        <v>46132</v>
      </c>
      <c r="B246" s="28" t="s">
        <v>301</v>
      </c>
      <c r="C246" s="29">
        <v>593</v>
      </c>
      <c r="D246" s="28" t="s">
        <v>287</v>
      </c>
      <c r="E246" s="28">
        <v>7700</v>
      </c>
      <c r="F246" s="30">
        <f t="shared" si="9"/>
        <v>4566100</v>
      </c>
      <c r="G246" s="30">
        <f t="shared" si="10"/>
        <v>867559</v>
      </c>
      <c r="H246" s="30">
        <f t="shared" si="11"/>
        <v>5433659</v>
      </c>
      <c r="I246" s="28" t="s">
        <v>288</v>
      </c>
      <c r="J246" s="28" t="s">
        <v>285</v>
      </c>
      <c r="K246" s="28" t="s">
        <v>403</v>
      </c>
      <c r="L246" s="28">
        <v>4065447</v>
      </c>
    </row>
    <row r="247" spans="1:12" x14ac:dyDescent="0.25">
      <c r="A247" s="4">
        <v>46133</v>
      </c>
      <c r="B247" s="5" t="s">
        <v>302</v>
      </c>
      <c r="C247" s="6">
        <v>1000</v>
      </c>
      <c r="D247" s="5" t="s">
        <v>104</v>
      </c>
      <c r="E247" s="5">
        <v>135</v>
      </c>
      <c r="F247" s="7">
        <f t="shared" si="9"/>
        <v>135000</v>
      </c>
      <c r="G247" s="7">
        <f t="shared" si="10"/>
        <v>25650</v>
      </c>
      <c r="H247" s="7">
        <f t="shared" si="11"/>
        <v>160650</v>
      </c>
      <c r="I247" s="5" t="s">
        <v>303</v>
      </c>
      <c r="J247" s="5" t="s">
        <v>285</v>
      </c>
      <c r="K247" s="5" t="s">
        <v>404</v>
      </c>
      <c r="L247" s="5">
        <v>4065057</v>
      </c>
    </row>
    <row r="248" spans="1:12" x14ac:dyDescent="0.25">
      <c r="A248" s="4">
        <v>46133</v>
      </c>
      <c r="B248" s="5" t="s">
        <v>292</v>
      </c>
      <c r="C248" s="6">
        <v>62030</v>
      </c>
      <c r="D248" s="5" t="s">
        <v>104</v>
      </c>
      <c r="E248" s="5">
        <v>100</v>
      </c>
      <c r="F248" s="7">
        <f t="shared" si="9"/>
        <v>6203000</v>
      </c>
      <c r="G248" s="7">
        <f t="shared" si="10"/>
        <v>1178570</v>
      </c>
      <c r="H248" s="7">
        <f t="shared" si="11"/>
        <v>7381570</v>
      </c>
      <c r="I248" s="5" t="s">
        <v>293</v>
      </c>
      <c r="J248" s="5" t="s">
        <v>285</v>
      </c>
      <c r="K248" s="5" t="s">
        <v>405</v>
      </c>
      <c r="L248" s="5">
        <v>4065448</v>
      </c>
    </row>
    <row r="249" spans="1:12" x14ac:dyDescent="0.25">
      <c r="A249" s="4">
        <v>46133</v>
      </c>
      <c r="B249" s="5" t="s">
        <v>306</v>
      </c>
      <c r="C249" s="6">
        <v>2</v>
      </c>
      <c r="D249" s="5" t="s">
        <v>13</v>
      </c>
      <c r="E249" s="5">
        <v>14285.71</v>
      </c>
      <c r="F249" s="7">
        <f t="shared" si="9"/>
        <v>28571.42</v>
      </c>
      <c r="G249" s="7">
        <f t="shared" si="10"/>
        <v>5428.5697999999993</v>
      </c>
      <c r="H249" s="7">
        <f t="shared" si="11"/>
        <v>33999.989799999996</v>
      </c>
      <c r="I249" s="5" t="s">
        <v>293</v>
      </c>
      <c r="J249" s="5" t="s">
        <v>285</v>
      </c>
      <c r="K249" s="5" t="s">
        <v>405</v>
      </c>
      <c r="L249" s="5">
        <v>4065448</v>
      </c>
    </row>
    <row r="250" spans="1:12" x14ac:dyDescent="0.25">
      <c r="A250" s="4">
        <v>46147</v>
      </c>
      <c r="B250" s="5" t="s">
        <v>286</v>
      </c>
      <c r="C250" s="6">
        <v>450</v>
      </c>
      <c r="D250" s="5" t="s">
        <v>104</v>
      </c>
      <c r="E250" s="5">
        <v>7700</v>
      </c>
      <c r="F250" s="7">
        <f t="shared" si="9"/>
        <v>3465000</v>
      </c>
      <c r="G250" s="7">
        <f t="shared" si="10"/>
        <v>658350</v>
      </c>
      <c r="H250" s="7">
        <f t="shared" si="11"/>
        <v>4123350</v>
      </c>
      <c r="I250" s="5" t="s">
        <v>288</v>
      </c>
      <c r="J250" s="5" t="s">
        <v>285</v>
      </c>
      <c r="K250" s="5" t="s">
        <v>406</v>
      </c>
      <c r="L250" s="5">
        <v>4065076</v>
      </c>
    </row>
    <row r="251" spans="1:12" x14ac:dyDescent="0.25">
      <c r="A251" s="4">
        <v>46156</v>
      </c>
      <c r="B251" s="5" t="s">
        <v>308</v>
      </c>
      <c r="C251" s="6">
        <v>6520</v>
      </c>
      <c r="D251" s="5" t="s">
        <v>104</v>
      </c>
      <c r="E251" s="5">
        <v>97.9</v>
      </c>
      <c r="F251" s="7">
        <f t="shared" si="9"/>
        <v>638308</v>
      </c>
      <c r="G251" s="7">
        <f t="shared" si="10"/>
        <v>121278.52</v>
      </c>
      <c r="H251" s="7">
        <f t="shared" si="11"/>
        <v>759586.52</v>
      </c>
      <c r="I251" s="5" t="s">
        <v>293</v>
      </c>
      <c r="J251" s="5" t="s">
        <v>285</v>
      </c>
      <c r="K251" s="5" t="s">
        <v>407</v>
      </c>
      <c r="L251" s="5">
        <v>4065078</v>
      </c>
    </row>
    <row r="252" spans="1:12" x14ac:dyDescent="0.25">
      <c r="A252" s="4">
        <v>46156</v>
      </c>
      <c r="B252" s="5" t="s">
        <v>310</v>
      </c>
      <c r="C252" s="6">
        <v>2140</v>
      </c>
      <c r="D252" s="5" t="s">
        <v>104</v>
      </c>
      <c r="E252" s="5">
        <v>97.9</v>
      </c>
      <c r="F252" s="7">
        <f t="shared" si="9"/>
        <v>209506</v>
      </c>
      <c r="G252" s="7">
        <f t="shared" si="10"/>
        <v>39806.14</v>
      </c>
      <c r="H252" s="7">
        <f t="shared" si="11"/>
        <v>249312.14</v>
      </c>
      <c r="I252" s="5" t="s">
        <v>293</v>
      </c>
      <c r="J252" s="5" t="s">
        <v>285</v>
      </c>
      <c r="K252" s="5" t="s">
        <v>407</v>
      </c>
      <c r="L252" s="5">
        <v>4065078</v>
      </c>
    </row>
    <row r="253" spans="1:12" x14ac:dyDescent="0.25">
      <c r="A253" s="4">
        <v>46156</v>
      </c>
      <c r="B253" s="5" t="s">
        <v>311</v>
      </c>
      <c r="C253" s="6">
        <v>2160</v>
      </c>
      <c r="D253" s="5" t="s">
        <v>104</v>
      </c>
      <c r="E253" s="5">
        <v>97.9</v>
      </c>
      <c r="F253" s="7">
        <f t="shared" si="9"/>
        <v>211464</v>
      </c>
      <c r="G253" s="7">
        <f t="shared" si="10"/>
        <v>40178.160000000003</v>
      </c>
      <c r="H253" s="7">
        <f t="shared" si="11"/>
        <v>251642.16</v>
      </c>
      <c r="I253" s="5" t="s">
        <v>293</v>
      </c>
      <c r="J253" s="5" t="s">
        <v>285</v>
      </c>
      <c r="K253" s="5" t="s">
        <v>407</v>
      </c>
      <c r="L253" s="5">
        <v>4065078</v>
      </c>
    </row>
    <row r="254" spans="1:12" x14ac:dyDescent="0.25">
      <c r="A254" s="4">
        <v>46156</v>
      </c>
      <c r="B254" s="5" t="s">
        <v>312</v>
      </c>
      <c r="C254" s="6">
        <v>50820</v>
      </c>
      <c r="D254" s="5" t="s">
        <v>104</v>
      </c>
      <c r="E254" s="5">
        <v>100</v>
      </c>
      <c r="F254" s="7">
        <f t="shared" si="9"/>
        <v>5082000</v>
      </c>
      <c r="G254" s="7">
        <f t="shared" si="10"/>
        <v>965580</v>
      </c>
      <c r="H254" s="7">
        <f t="shared" si="11"/>
        <v>6047580</v>
      </c>
      <c r="I254" s="5" t="s">
        <v>293</v>
      </c>
      <c r="J254" s="5" t="s">
        <v>285</v>
      </c>
      <c r="K254" s="5" t="s">
        <v>407</v>
      </c>
      <c r="L254" s="5">
        <v>4065078</v>
      </c>
    </row>
    <row r="255" spans="1:12" x14ac:dyDescent="0.25">
      <c r="A255" s="4">
        <v>46156</v>
      </c>
      <c r="B255" s="5" t="s">
        <v>313</v>
      </c>
      <c r="C255" s="6">
        <v>3</v>
      </c>
      <c r="D255" s="5" t="s">
        <v>13</v>
      </c>
      <c r="E255" s="5">
        <v>10084.030000000001</v>
      </c>
      <c r="F255" s="7">
        <f t="shared" si="9"/>
        <v>30252.090000000004</v>
      </c>
      <c r="G255" s="7">
        <f t="shared" si="10"/>
        <v>5747.897100000001</v>
      </c>
      <c r="H255" s="7">
        <f t="shared" si="11"/>
        <v>35999.987100000006</v>
      </c>
      <c r="I255" s="5" t="s">
        <v>293</v>
      </c>
      <c r="J255" s="5" t="s">
        <v>285</v>
      </c>
      <c r="K255" s="5" t="s">
        <v>407</v>
      </c>
      <c r="L255" s="5">
        <v>4065078</v>
      </c>
    </row>
    <row r="256" spans="1:12" x14ac:dyDescent="0.25">
      <c r="A256" s="4">
        <v>46173</v>
      </c>
      <c r="B256" s="5" t="s">
        <v>292</v>
      </c>
      <c r="C256" s="6">
        <v>60600</v>
      </c>
      <c r="D256" s="5" t="s">
        <v>164</v>
      </c>
      <c r="E256" s="5">
        <v>100.42</v>
      </c>
      <c r="F256" s="7">
        <f t="shared" si="9"/>
        <v>6085452</v>
      </c>
      <c r="G256" s="7">
        <f t="shared" si="10"/>
        <v>1156235.8800000001</v>
      </c>
      <c r="H256" s="7">
        <f t="shared" si="11"/>
        <v>7241687.8799999999</v>
      </c>
      <c r="I256" s="5" t="s">
        <v>293</v>
      </c>
      <c r="J256" s="5" t="s">
        <v>285</v>
      </c>
      <c r="K256" s="5" t="s">
        <v>408</v>
      </c>
      <c r="L256" s="5">
        <v>4065110</v>
      </c>
    </row>
    <row r="257" spans="1:12" x14ac:dyDescent="0.25">
      <c r="A257" s="4">
        <v>46173</v>
      </c>
      <c r="B257" s="5" t="s">
        <v>315</v>
      </c>
      <c r="C257" s="6">
        <v>19320</v>
      </c>
      <c r="D257" s="5" t="s">
        <v>164</v>
      </c>
      <c r="E257" s="5">
        <v>100</v>
      </c>
      <c r="F257" s="7">
        <f t="shared" si="9"/>
        <v>1932000</v>
      </c>
      <c r="G257" s="7">
        <f t="shared" si="10"/>
        <v>367080</v>
      </c>
      <c r="H257" s="7">
        <f t="shared" si="11"/>
        <v>2299080</v>
      </c>
      <c r="I257" s="5" t="s">
        <v>293</v>
      </c>
      <c r="J257" s="5" t="s">
        <v>285</v>
      </c>
      <c r="K257" s="5" t="s">
        <v>408</v>
      </c>
      <c r="L257" s="5">
        <v>4065110</v>
      </c>
    </row>
    <row r="258" spans="1:12" x14ac:dyDescent="0.25">
      <c r="A258" s="4">
        <v>46173</v>
      </c>
      <c r="B258" s="5" t="s">
        <v>316</v>
      </c>
      <c r="C258" s="6">
        <v>30420</v>
      </c>
      <c r="D258" s="5" t="s">
        <v>164</v>
      </c>
      <c r="E258" s="5">
        <v>98.74</v>
      </c>
      <c r="F258" s="7">
        <f t="shared" ref="F258:F298" si="12">C258*E258</f>
        <v>3003670.8</v>
      </c>
      <c r="G258" s="7">
        <f t="shared" ref="G258:G298" si="13">F258*0.19</f>
        <v>570697.45199999993</v>
      </c>
      <c r="H258" s="7">
        <f t="shared" ref="H258:H298" si="14">F258+G258</f>
        <v>3574368.2519999999</v>
      </c>
      <c r="I258" s="5" t="s">
        <v>293</v>
      </c>
      <c r="J258" s="5" t="s">
        <v>285</v>
      </c>
      <c r="K258" s="5" t="s">
        <v>408</v>
      </c>
      <c r="L258" s="5">
        <v>4065110</v>
      </c>
    </row>
    <row r="259" spans="1:12" x14ac:dyDescent="0.25">
      <c r="A259" s="4">
        <v>46173</v>
      </c>
      <c r="B259" s="5" t="s">
        <v>313</v>
      </c>
      <c r="C259" s="6">
        <v>5</v>
      </c>
      <c r="D259" s="5" t="s">
        <v>13</v>
      </c>
      <c r="E259" s="5">
        <v>10084.030000000001</v>
      </c>
      <c r="F259" s="7">
        <f t="shared" si="12"/>
        <v>50420.15</v>
      </c>
      <c r="G259" s="7">
        <f t="shared" si="13"/>
        <v>9579.8284999999996</v>
      </c>
      <c r="H259" s="7">
        <f t="shared" si="14"/>
        <v>59999.978499999997</v>
      </c>
      <c r="I259" s="5" t="s">
        <v>293</v>
      </c>
      <c r="J259" s="5" t="s">
        <v>285</v>
      </c>
      <c r="K259" s="5" t="s">
        <v>408</v>
      </c>
      <c r="L259" s="5">
        <v>4065110</v>
      </c>
    </row>
    <row r="260" spans="1:12" x14ac:dyDescent="0.25">
      <c r="A260" s="4">
        <v>46176</v>
      </c>
      <c r="B260" s="5" t="s">
        <v>317</v>
      </c>
      <c r="C260" s="6">
        <v>679.5</v>
      </c>
      <c r="D260" s="5" t="s">
        <v>287</v>
      </c>
      <c r="E260" s="5">
        <v>7700</v>
      </c>
      <c r="F260" s="7">
        <f t="shared" si="12"/>
        <v>5232150</v>
      </c>
      <c r="G260" s="7">
        <f t="shared" si="13"/>
        <v>994108.5</v>
      </c>
      <c r="H260" s="7">
        <f t="shared" si="14"/>
        <v>6226258.5</v>
      </c>
      <c r="I260" s="5" t="s">
        <v>288</v>
      </c>
      <c r="J260" s="5" t="s">
        <v>285</v>
      </c>
      <c r="K260" s="5" t="s">
        <v>409</v>
      </c>
      <c r="L260" s="5">
        <v>4065111</v>
      </c>
    </row>
    <row r="261" spans="1:12" s="31" customFormat="1" x14ac:dyDescent="0.25">
      <c r="A261" s="27">
        <v>46186</v>
      </c>
      <c r="B261" s="28" t="s">
        <v>319</v>
      </c>
      <c r="C261" s="29">
        <v>100.2</v>
      </c>
      <c r="D261" s="28" t="s">
        <v>320</v>
      </c>
      <c r="E261" s="28">
        <v>9958</v>
      </c>
      <c r="F261" s="30">
        <f t="shared" si="12"/>
        <v>997791.6</v>
      </c>
      <c r="G261" s="30">
        <f t="shared" si="13"/>
        <v>189580.40400000001</v>
      </c>
      <c r="H261" s="30">
        <f t="shared" si="14"/>
        <v>1187372.004</v>
      </c>
      <c r="I261" s="28" t="s">
        <v>321</v>
      </c>
      <c r="J261" s="28" t="s">
        <v>285</v>
      </c>
      <c r="K261" s="51" t="s">
        <v>423</v>
      </c>
      <c r="L261" s="28">
        <v>4065124</v>
      </c>
    </row>
    <row r="262" spans="1:12" s="31" customFormat="1" x14ac:dyDescent="0.25">
      <c r="A262" s="27">
        <v>46186</v>
      </c>
      <c r="B262" s="28" t="s">
        <v>322</v>
      </c>
      <c r="C262" s="29">
        <v>60</v>
      </c>
      <c r="D262" s="28" t="s">
        <v>320</v>
      </c>
      <c r="E262" s="28">
        <v>9916</v>
      </c>
      <c r="F262" s="30">
        <f t="shared" si="12"/>
        <v>594960</v>
      </c>
      <c r="G262" s="30">
        <f t="shared" si="13"/>
        <v>113042.4</v>
      </c>
      <c r="H262" s="30">
        <f t="shared" si="14"/>
        <v>708002.4</v>
      </c>
      <c r="I262" s="28" t="s">
        <v>321</v>
      </c>
      <c r="J262" s="28" t="s">
        <v>285</v>
      </c>
      <c r="K262" s="51" t="s">
        <v>423</v>
      </c>
      <c r="L262" s="28">
        <v>4065124</v>
      </c>
    </row>
    <row r="263" spans="1:12" s="31" customFormat="1" x14ac:dyDescent="0.25">
      <c r="A263" s="27">
        <v>46186</v>
      </c>
      <c r="B263" s="28" t="s">
        <v>323</v>
      </c>
      <c r="C263" s="29">
        <v>19.399999999999999</v>
      </c>
      <c r="D263" s="28" t="s">
        <v>320</v>
      </c>
      <c r="E263" s="28">
        <v>10043</v>
      </c>
      <c r="F263" s="30">
        <f t="shared" si="12"/>
        <v>194834.19999999998</v>
      </c>
      <c r="G263" s="30">
        <f t="shared" si="13"/>
        <v>37018.498</v>
      </c>
      <c r="H263" s="30">
        <f t="shared" si="14"/>
        <v>231852.69799999997</v>
      </c>
      <c r="I263" s="28" t="s">
        <v>321</v>
      </c>
      <c r="J263" s="28" t="s">
        <v>285</v>
      </c>
      <c r="K263" s="51" t="s">
        <v>423</v>
      </c>
      <c r="L263" s="28">
        <v>4065124</v>
      </c>
    </row>
    <row r="264" spans="1:12" x14ac:dyDescent="0.25">
      <c r="A264" s="4">
        <v>46195</v>
      </c>
      <c r="B264" s="5" t="s">
        <v>313</v>
      </c>
      <c r="C264" s="6">
        <v>1</v>
      </c>
      <c r="D264" s="5"/>
      <c r="E264" s="5">
        <v>8403.36</v>
      </c>
      <c r="F264" s="7">
        <f t="shared" si="12"/>
        <v>8403.36</v>
      </c>
      <c r="G264" s="7">
        <f t="shared" si="13"/>
        <v>1596.6384</v>
      </c>
      <c r="H264" s="7">
        <f t="shared" si="14"/>
        <v>9999.9984000000004</v>
      </c>
      <c r="I264" s="5" t="s">
        <v>293</v>
      </c>
      <c r="J264" s="5" t="s">
        <v>285</v>
      </c>
      <c r="K264" s="5" t="s">
        <v>410</v>
      </c>
      <c r="L264" s="5">
        <v>4065159</v>
      </c>
    </row>
    <row r="265" spans="1:12" x14ac:dyDescent="0.25">
      <c r="A265" s="4">
        <v>46195</v>
      </c>
      <c r="B265" s="5" t="s">
        <v>325</v>
      </c>
      <c r="C265" s="6">
        <v>40480</v>
      </c>
      <c r="D265" s="5" t="s">
        <v>104</v>
      </c>
      <c r="E265" s="5">
        <v>100</v>
      </c>
      <c r="F265" s="7">
        <f t="shared" si="12"/>
        <v>4048000</v>
      </c>
      <c r="G265" s="7">
        <f t="shared" si="13"/>
        <v>769120</v>
      </c>
      <c r="H265" s="7">
        <f t="shared" si="14"/>
        <v>4817120</v>
      </c>
      <c r="I265" s="5" t="s">
        <v>293</v>
      </c>
      <c r="J265" s="5" t="s">
        <v>285</v>
      </c>
      <c r="K265" s="5" t="s">
        <v>410</v>
      </c>
      <c r="L265" s="5">
        <v>4065159</v>
      </c>
    </row>
    <row r="266" spans="1:12" x14ac:dyDescent="0.25">
      <c r="A266" s="4">
        <v>46195</v>
      </c>
      <c r="B266" s="5" t="s">
        <v>326</v>
      </c>
      <c r="C266" s="6">
        <v>4060</v>
      </c>
      <c r="D266" s="5"/>
      <c r="E266" s="5">
        <v>98.739457999999999</v>
      </c>
      <c r="F266" s="7">
        <f t="shared" si="12"/>
        <v>400882.19948000001</v>
      </c>
      <c r="G266" s="7">
        <f t="shared" si="13"/>
        <v>76167.617901200007</v>
      </c>
      <c r="H266" s="7">
        <f t="shared" si="14"/>
        <v>477049.81738120003</v>
      </c>
      <c r="I266" s="5" t="s">
        <v>293</v>
      </c>
      <c r="J266" s="5" t="s">
        <v>285</v>
      </c>
      <c r="K266" s="5" t="s">
        <v>411</v>
      </c>
      <c r="L266" s="5">
        <v>4065173</v>
      </c>
    </row>
    <row r="267" spans="1:12" x14ac:dyDescent="0.25">
      <c r="A267" s="4">
        <v>46195</v>
      </c>
      <c r="B267" s="5" t="s">
        <v>328</v>
      </c>
      <c r="C267" s="6">
        <v>20160</v>
      </c>
      <c r="D267" s="5" t="s">
        <v>104</v>
      </c>
      <c r="E267" s="5">
        <v>100</v>
      </c>
      <c r="F267" s="7">
        <f t="shared" si="12"/>
        <v>2016000</v>
      </c>
      <c r="G267" s="7">
        <f t="shared" si="13"/>
        <v>383040</v>
      </c>
      <c r="H267" s="7">
        <f t="shared" si="14"/>
        <v>2399040</v>
      </c>
      <c r="I267" s="5" t="s">
        <v>293</v>
      </c>
      <c r="J267" s="5" t="s">
        <v>285</v>
      </c>
      <c r="K267" s="5" t="s">
        <v>411</v>
      </c>
      <c r="L267" s="5">
        <v>4065173</v>
      </c>
    </row>
    <row r="268" spans="1:12" x14ac:dyDescent="0.25">
      <c r="A268" s="4">
        <v>46125</v>
      </c>
      <c r="B268" s="5" t="s">
        <v>329</v>
      </c>
      <c r="C268" s="6">
        <v>60900</v>
      </c>
      <c r="D268" s="5" t="s">
        <v>104</v>
      </c>
      <c r="E268" s="5">
        <v>100</v>
      </c>
      <c r="F268" s="7">
        <f t="shared" si="12"/>
        <v>6090000</v>
      </c>
      <c r="G268" s="7">
        <f t="shared" si="13"/>
        <v>1157100</v>
      </c>
      <c r="H268" s="7">
        <f t="shared" si="14"/>
        <v>7247100</v>
      </c>
      <c r="I268" s="5" t="s">
        <v>293</v>
      </c>
      <c r="J268" s="5" t="s">
        <v>285</v>
      </c>
      <c r="K268" s="5" t="s">
        <v>412</v>
      </c>
      <c r="L268" s="5">
        <v>4065437</v>
      </c>
    </row>
    <row r="269" spans="1:12" x14ac:dyDescent="0.25">
      <c r="A269" s="4">
        <v>46125</v>
      </c>
      <c r="B269" s="5" t="s">
        <v>313</v>
      </c>
      <c r="C269" s="6">
        <v>2</v>
      </c>
      <c r="D269" s="5" t="s">
        <v>104</v>
      </c>
      <c r="E269" s="5">
        <v>14285.7143</v>
      </c>
      <c r="F269" s="7">
        <f t="shared" si="12"/>
        <v>28571.428599999999</v>
      </c>
      <c r="G269" s="7">
        <f t="shared" si="13"/>
        <v>5428.5714339999995</v>
      </c>
      <c r="H269" s="7">
        <f t="shared" si="14"/>
        <v>34000.000033999997</v>
      </c>
      <c r="I269" s="5" t="s">
        <v>293</v>
      </c>
      <c r="J269" s="5" t="s">
        <v>285</v>
      </c>
      <c r="K269" s="5" t="s">
        <v>412</v>
      </c>
      <c r="L269" s="5">
        <v>4065437</v>
      </c>
    </row>
    <row r="270" spans="1:12" s="60" customFormat="1" ht="20.25" customHeight="1" x14ac:dyDescent="0.25">
      <c r="A270" s="56">
        <v>46210</v>
      </c>
      <c r="B270" s="57" t="s">
        <v>331</v>
      </c>
      <c r="C270" s="58">
        <v>1</v>
      </c>
      <c r="D270" s="57" t="s">
        <v>332</v>
      </c>
      <c r="E270" s="57">
        <v>13490</v>
      </c>
      <c r="F270" s="59">
        <f t="shared" si="12"/>
        <v>13490</v>
      </c>
      <c r="G270" s="59">
        <f t="shared" si="13"/>
        <v>2563.1</v>
      </c>
      <c r="H270" s="59">
        <f t="shared" si="14"/>
        <v>16053.1</v>
      </c>
      <c r="I270" s="57" t="s">
        <v>333</v>
      </c>
      <c r="J270" s="57" t="s">
        <v>285</v>
      </c>
      <c r="K270" s="57"/>
      <c r="L270" s="57"/>
    </row>
    <row r="271" spans="1:12" s="31" customFormat="1" x14ac:dyDescent="0.25">
      <c r="A271" s="27">
        <v>46195</v>
      </c>
      <c r="B271" s="28" t="s">
        <v>334</v>
      </c>
      <c r="C271" s="29">
        <v>122</v>
      </c>
      <c r="D271" s="28" t="s">
        <v>320</v>
      </c>
      <c r="E271" s="28">
        <v>10000</v>
      </c>
      <c r="F271" s="30">
        <f t="shared" si="12"/>
        <v>1220000</v>
      </c>
      <c r="G271" s="30">
        <f t="shared" si="13"/>
        <v>231800</v>
      </c>
      <c r="H271" s="30">
        <f t="shared" si="14"/>
        <v>1451800</v>
      </c>
      <c r="I271" s="28" t="s">
        <v>321</v>
      </c>
      <c r="J271" s="28" t="s">
        <v>285</v>
      </c>
      <c r="K271" s="51" t="s">
        <v>422</v>
      </c>
      <c r="L271" s="28">
        <v>4065158</v>
      </c>
    </row>
    <row r="272" spans="1:12" s="31" customFormat="1" x14ac:dyDescent="0.25">
      <c r="A272" s="27">
        <v>46195</v>
      </c>
      <c r="B272" s="28" t="s">
        <v>313</v>
      </c>
      <c r="C272" s="29">
        <v>1</v>
      </c>
      <c r="D272" s="28" t="s">
        <v>100</v>
      </c>
      <c r="E272" s="28">
        <v>10084.030000000001</v>
      </c>
      <c r="F272" s="30">
        <f t="shared" si="12"/>
        <v>10084.030000000001</v>
      </c>
      <c r="G272" s="30">
        <f t="shared" si="13"/>
        <v>1915.9657000000002</v>
      </c>
      <c r="H272" s="30">
        <f t="shared" si="14"/>
        <v>11999.995700000001</v>
      </c>
      <c r="I272" s="28" t="s">
        <v>321</v>
      </c>
      <c r="J272" s="28" t="s">
        <v>285</v>
      </c>
      <c r="K272" s="51" t="s">
        <v>422</v>
      </c>
      <c r="L272" s="28">
        <v>4065158</v>
      </c>
    </row>
    <row r="273" spans="1:12" x14ac:dyDescent="0.25">
      <c r="A273" s="4">
        <v>46195</v>
      </c>
      <c r="B273" s="5" t="s">
        <v>335</v>
      </c>
      <c r="C273" s="6">
        <v>1071.5</v>
      </c>
      <c r="D273" s="5" t="s">
        <v>287</v>
      </c>
      <c r="E273" s="5">
        <v>7700</v>
      </c>
      <c r="F273" s="7">
        <f t="shared" si="12"/>
        <v>8250550</v>
      </c>
      <c r="G273" s="7">
        <f t="shared" si="13"/>
        <v>1567604.5</v>
      </c>
      <c r="H273" s="7">
        <f t="shared" si="14"/>
        <v>9818154.5</v>
      </c>
      <c r="I273" s="5" t="s">
        <v>288</v>
      </c>
      <c r="J273" s="5" t="s">
        <v>285</v>
      </c>
      <c r="K273" s="5" t="s">
        <v>413</v>
      </c>
      <c r="L273" s="5">
        <v>4065172</v>
      </c>
    </row>
    <row r="274" spans="1:12" x14ac:dyDescent="0.25">
      <c r="A274" s="4">
        <v>46216</v>
      </c>
      <c r="B274" s="5" t="s">
        <v>337</v>
      </c>
      <c r="C274" s="6">
        <v>6100</v>
      </c>
      <c r="D274" s="5" t="s">
        <v>104</v>
      </c>
      <c r="E274" s="5">
        <v>98.739599999999996</v>
      </c>
      <c r="F274" s="7">
        <f t="shared" si="12"/>
        <v>602311.55999999994</v>
      </c>
      <c r="G274" s="7">
        <f t="shared" si="13"/>
        <v>114439.19639999999</v>
      </c>
      <c r="H274" s="7">
        <f t="shared" si="14"/>
        <v>716750.75639999995</v>
      </c>
      <c r="I274" s="5" t="s">
        <v>293</v>
      </c>
      <c r="J274" s="5" t="s">
        <v>285</v>
      </c>
      <c r="K274" s="5" t="s">
        <v>414</v>
      </c>
      <c r="L274" s="5">
        <v>4065189</v>
      </c>
    </row>
    <row r="275" spans="1:12" x14ac:dyDescent="0.25">
      <c r="A275" s="4">
        <v>46216</v>
      </c>
      <c r="B275" s="5" t="s">
        <v>313</v>
      </c>
      <c r="C275" s="6">
        <v>1</v>
      </c>
      <c r="D275" s="5" t="s">
        <v>100</v>
      </c>
      <c r="E275" s="5">
        <v>10084.030000000001</v>
      </c>
      <c r="F275" s="7">
        <f t="shared" si="12"/>
        <v>10084.030000000001</v>
      </c>
      <c r="G275" s="7">
        <f t="shared" si="13"/>
        <v>1915.9657000000002</v>
      </c>
      <c r="H275" s="7">
        <f t="shared" si="14"/>
        <v>11999.995700000001</v>
      </c>
      <c r="I275" s="5" t="s">
        <v>293</v>
      </c>
      <c r="J275" s="5" t="s">
        <v>285</v>
      </c>
      <c r="K275" s="5" t="s">
        <v>414</v>
      </c>
      <c r="L275" s="5">
        <v>4065189</v>
      </c>
    </row>
    <row r="276" spans="1:12" x14ac:dyDescent="0.25">
      <c r="A276" s="4">
        <v>46232</v>
      </c>
      <c r="B276" s="5" t="s">
        <v>339</v>
      </c>
      <c r="C276" s="6">
        <v>300</v>
      </c>
      <c r="D276" s="5" t="s">
        <v>257</v>
      </c>
      <c r="E276" s="5">
        <v>150</v>
      </c>
      <c r="F276" s="7">
        <f t="shared" si="12"/>
        <v>45000</v>
      </c>
      <c r="G276" s="7">
        <f t="shared" si="13"/>
        <v>8550</v>
      </c>
      <c r="H276" s="7">
        <f t="shared" si="14"/>
        <v>53550</v>
      </c>
      <c r="I276" s="5" t="s">
        <v>340</v>
      </c>
      <c r="J276" s="5" t="s">
        <v>285</v>
      </c>
      <c r="K276" s="5" t="s">
        <v>388</v>
      </c>
      <c r="L276" s="5">
        <v>4065228</v>
      </c>
    </row>
    <row r="277" spans="1:12" x14ac:dyDescent="0.25">
      <c r="A277" s="4">
        <v>46214</v>
      </c>
      <c r="B277" s="5" t="s">
        <v>341</v>
      </c>
      <c r="C277" s="6">
        <v>1009</v>
      </c>
      <c r="D277" s="5" t="s">
        <v>104</v>
      </c>
      <c r="E277" s="5">
        <v>135</v>
      </c>
      <c r="F277" s="7">
        <f t="shared" si="12"/>
        <v>136215</v>
      </c>
      <c r="G277" s="7">
        <f t="shared" si="13"/>
        <v>25880.85</v>
      </c>
      <c r="H277" s="7">
        <f t="shared" si="14"/>
        <v>162095.85</v>
      </c>
      <c r="I277" s="5" t="s">
        <v>303</v>
      </c>
      <c r="J277" s="5" t="s">
        <v>285</v>
      </c>
      <c r="K277" s="5" t="s">
        <v>415</v>
      </c>
      <c r="L277" s="5">
        <v>4065207</v>
      </c>
    </row>
    <row r="278" spans="1:12" x14ac:dyDescent="0.25">
      <c r="A278" s="4">
        <v>46147</v>
      </c>
      <c r="B278" s="5" t="s">
        <v>343</v>
      </c>
      <c r="C278" s="6">
        <v>3</v>
      </c>
      <c r="D278" s="5" t="s">
        <v>13</v>
      </c>
      <c r="E278" s="5">
        <v>9500</v>
      </c>
      <c r="F278" s="7">
        <f t="shared" si="12"/>
        <v>28500</v>
      </c>
      <c r="G278" s="7">
        <f t="shared" si="13"/>
        <v>5415</v>
      </c>
      <c r="H278" s="7">
        <f t="shared" si="14"/>
        <v>33915</v>
      </c>
      <c r="I278" s="5" t="s">
        <v>344</v>
      </c>
      <c r="J278" s="5" t="s">
        <v>15</v>
      </c>
      <c r="K278" s="5" t="s">
        <v>345</v>
      </c>
      <c r="L278" s="5">
        <v>4065161</v>
      </c>
    </row>
    <row r="279" spans="1:12" x14ac:dyDescent="0.25">
      <c r="A279" s="4">
        <v>46147</v>
      </c>
      <c r="B279" s="5" t="s">
        <v>346</v>
      </c>
      <c r="C279" s="6">
        <v>3</v>
      </c>
      <c r="D279" s="5" t="s">
        <v>13</v>
      </c>
      <c r="E279" s="5">
        <v>9500</v>
      </c>
      <c r="F279" s="7">
        <f t="shared" si="12"/>
        <v>28500</v>
      </c>
      <c r="G279" s="7">
        <f t="shared" si="13"/>
        <v>5415</v>
      </c>
      <c r="H279" s="7">
        <f t="shared" si="14"/>
        <v>33915</v>
      </c>
      <c r="I279" s="5" t="s">
        <v>344</v>
      </c>
      <c r="J279" s="5" t="s">
        <v>15</v>
      </c>
      <c r="K279" s="5" t="s">
        <v>345</v>
      </c>
      <c r="L279" s="5">
        <v>4065161</v>
      </c>
    </row>
    <row r="280" spans="1:12" x14ac:dyDescent="0.25">
      <c r="A280" s="4">
        <v>46147</v>
      </c>
      <c r="B280" s="5" t="s">
        <v>347</v>
      </c>
      <c r="C280" s="6">
        <v>3</v>
      </c>
      <c r="D280" s="5" t="s">
        <v>13</v>
      </c>
      <c r="E280" s="5">
        <v>6500</v>
      </c>
      <c r="F280" s="7">
        <f t="shared" si="12"/>
        <v>19500</v>
      </c>
      <c r="G280" s="7">
        <f t="shared" si="13"/>
        <v>3705</v>
      </c>
      <c r="H280" s="7">
        <f t="shared" si="14"/>
        <v>23205</v>
      </c>
      <c r="I280" s="5" t="s">
        <v>344</v>
      </c>
      <c r="J280" s="5" t="s">
        <v>15</v>
      </c>
      <c r="K280" s="5" t="s">
        <v>345</v>
      </c>
      <c r="L280" s="5">
        <v>4065161</v>
      </c>
    </row>
    <row r="281" spans="1:12" x14ac:dyDescent="0.25">
      <c r="A281" s="4">
        <v>46147</v>
      </c>
      <c r="B281" s="5" t="s">
        <v>348</v>
      </c>
      <c r="C281" s="6">
        <v>9</v>
      </c>
      <c r="D281" s="5" t="s">
        <v>13</v>
      </c>
      <c r="E281" s="5">
        <v>2000</v>
      </c>
      <c r="F281" s="7">
        <f t="shared" si="12"/>
        <v>18000</v>
      </c>
      <c r="G281" s="7">
        <f t="shared" si="13"/>
        <v>3420</v>
      </c>
      <c r="H281" s="7">
        <f t="shared" si="14"/>
        <v>21420</v>
      </c>
      <c r="I281" s="5" t="s">
        <v>344</v>
      </c>
      <c r="J281" s="5" t="s">
        <v>15</v>
      </c>
      <c r="K281" s="5" t="s">
        <v>345</v>
      </c>
      <c r="L281" s="5">
        <v>4065161</v>
      </c>
    </row>
    <row r="282" spans="1:12" x14ac:dyDescent="0.25">
      <c r="A282" s="4">
        <v>46237</v>
      </c>
      <c r="B282" s="5" t="s">
        <v>349</v>
      </c>
      <c r="C282" s="6">
        <v>56</v>
      </c>
      <c r="D282" s="5" t="s">
        <v>100</v>
      </c>
      <c r="E282" s="5">
        <v>450</v>
      </c>
      <c r="F282" s="7">
        <f t="shared" si="12"/>
        <v>25200</v>
      </c>
      <c r="G282" s="7">
        <f t="shared" si="13"/>
        <v>4788</v>
      </c>
      <c r="H282" s="7">
        <f t="shared" si="14"/>
        <v>29988</v>
      </c>
      <c r="I282" s="5" t="s">
        <v>344</v>
      </c>
      <c r="J282" s="5" t="s">
        <v>15</v>
      </c>
      <c r="K282" s="5" t="s">
        <v>350</v>
      </c>
      <c r="L282" s="5">
        <v>4065191</v>
      </c>
    </row>
    <row r="283" spans="1:12" x14ac:dyDescent="0.25">
      <c r="A283" s="4">
        <v>46237</v>
      </c>
      <c r="B283" s="5" t="s">
        <v>313</v>
      </c>
      <c r="C283" s="6">
        <v>1</v>
      </c>
      <c r="D283" s="5" t="s">
        <v>100</v>
      </c>
      <c r="E283" s="5">
        <v>2000</v>
      </c>
      <c r="F283" s="7">
        <f t="shared" si="12"/>
        <v>2000</v>
      </c>
      <c r="G283" s="7">
        <f t="shared" si="13"/>
        <v>380</v>
      </c>
      <c r="H283" s="7">
        <f t="shared" si="14"/>
        <v>2380</v>
      </c>
      <c r="I283" s="5" t="s">
        <v>344</v>
      </c>
      <c r="J283" s="5" t="s">
        <v>15</v>
      </c>
      <c r="K283" s="5" t="s">
        <v>350</v>
      </c>
      <c r="L283" s="5">
        <v>4065191</v>
      </c>
    </row>
    <row r="284" spans="1:12" x14ac:dyDescent="0.25">
      <c r="A284" s="4">
        <v>46147</v>
      </c>
      <c r="B284" s="5" t="s">
        <v>351</v>
      </c>
      <c r="C284" s="6">
        <v>28</v>
      </c>
      <c r="D284" s="5" t="s">
        <v>130</v>
      </c>
      <c r="E284" s="5">
        <v>19664</v>
      </c>
      <c r="F284" s="7">
        <f t="shared" si="12"/>
        <v>550592</v>
      </c>
      <c r="G284" s="7">
        <f t="shared" si="13"/>
        <v>104612.48</v>
      </c>
      <c r="H284" s="7">
        <f t="shared" si="14"/>
        <v>655204.48</v>
      </c>
      <c r="I284" s="5" t="s">
        <v>352</v>
      </c>
      <c r="J284" s="5" t="s">
        <v>15</v>
      </c>
      <c r="K284" s="5" t="s">
        <v>353</v>
      </c>
      <c r="L284" s="5">
        <v>4065229</v>
      </c>
    </row>
    <row r="285" spans="1:12" x14ac:dyDescent="0.25">
      <c r="A285" s="4">
        <v>46225</v>
      </c>
      <c r="B285" s="5" t="s">
        <v>354</v>
      </c>
      <c r="C285" s="6">
        <v>3</v>
      </c>
      <c r="D285" s="5" t="s">
        <v>100</v>
      </c>
      <c r="E285" s="5">
        <v>49450</v>
      </c>
      <c r="F285" s="7">
        <f t="shared" si="12"/>
        <v>148350</v>
      </c>
      <c r="G285" s="7">
        <f t="shared" si="13"/>
        <v>28186.5</v>
      </c>
      <c r="H285" s="7">
        <f t="shared" si="14"/>
        <v>176536.5</v>
      </c>
      <c r="I285" s="5" t="s">
        <v>355</v>
      </c>
      <c r="J285" s="5" t="s">
        <v>285</v>
      </c>
      <c r="K285" s="5" t="s">
        <v>416</v>
      </c>
      <c r="L285" s="5">
        <v>4065215</v>
      </c>
    </row>
    <row r="286" spans="1:12" x14ac:dyDescent="0.25">
      <c r="A286" s="4">
        <v>46214</v>
      </c>
      <c r="B286" s="5" t="s">
        <v>357</v>
      </c>
      <c r="C286" s="6">
        <v>100</v>
      </c>
      <c r="D286" s="5" t="s">
        <v>358</v>
      </c>
      <c r="E286" s="5">
        <v>770</v>
      </c>
      <c r="F286" s="7">
        <f t="shared" si="12"/>
        <v>77000</v>
      </c>
      <c r="G286" s="7">
        <f t="shared" si="13"/>
        <v>14630</v>
      </c>
      <c r="H286" s="7">
        <f t="shared" si="14"/>
        <v>91630</v>
      </c>
      <c r="I286" s="5" t="s">
        <v>359</v>
      </c>
      <c r="J286" s="5" t="s">
        <v>285</v>
      </c>
      <c r="K286" s="5" t="s">
        <v>389</v>
      </c>
      <c r="L286" s="5">
        <v>4065206</v>
      </c>
    </row>
    <row r="287" spans="1:12" x14ac:dyDescent="0.25">
      <c r="A287" s="4">
        <v>46214</v>
      </c>
      <c r="B287" s="5" t="s">
        <v>360</v>
      </c>
      <c r="C287" s="6">
        <v>5</v>
      </c>
      <c r="D287" s="5" t="s">
        <v>100</v>
      </c>
      <c r="E287" s="5">
        <v>1400</v>
      </c>
      <c r="F287" s="7">
        <f t="shared" si="12"/>
        <v>7000</v>
      </c>
      <c r="G287" s="7">
        <f t="shared" si="13"/>
        <v>1330</v>
      </c>
      <c r="H287" s="7">
        <f t="shared" si="14"/>
        <v>8330</v>
      </c>
      <c r="I287" s="5" t="s">
        <v>359</v>
      </c>
      <c r="J287" s="5" t="s">
        <v>285</v>
      </c>
      <c r="K287" s="5" t="s">
        <v>389</v>
      </c>
      <c r="L287" s="5">
        <v>4065206</v>
      </c>
    </row>
    <row r="288" spans="1:12" x14ac:dyDescent="0.25">
      <c r="A288" s="4">
        <v>46214</v>
      </c>
      <c r="B288" s="5" t="s">
        <v>361</v>
      </c>
      <c r="C288" s="6">
        <v>5</v>
      </c>
      <c r="D288" s="5" t="s">
        <v>100</v>
      </c>
      <c r="E288" s="5">
        <v>786.6</v>
      </c>
      <c r="F288" s="7">
        <f t="shared" si="12"/>
        <v>3933</v>
      </c>
      <c r="G288" s="7">
        <f t="shared" si="13"/>
        <v>747.27</v>
      </c>
      <c r="H288" s="7">
        <f t="shared" si="14"/>
        <v>4680.2700000000004</v>
      </c>
      <c r="I288" s="5" t="s">
        <v>359</v>
      </c>
      <c r="J288" s="5" t="s">
        <v>285</v>
      </c>
      <c r="K288" s="5" t="s">
        <v>389</v>
      </c>
      <c r="L288" s="5">
        <v>4065206</v>
      </c>
    </row>
    <row r="289" spans="1:12" x14ac:dyDescent="0.25">
      <c r="A289" s="4">
        <v>46214</v>
      </c>
      <c r="B289" s="5" t="s">
        <v>362</v>
      </c>
      <c r="C289" s="6">
        <v>1</v>
      </c>
      <c r="D289" s="5" t="s">
        <v>100</v>
      </c>
      <c r="E289" s="5">
        <v>3950</v>
      </c>
      <c r="F289" s="7">
        <f t="shared" si="12"/>
        <v>3950</v>
      </c>
      <c r="G289" s="7">
        <f t="shared" si="13"/>
        <v>750.5</v>
      </c>
      <c r="H289" s="7">
        <f t="shared" si="14"/>
        <v>4700.5</v>
      </c>
      <c r="I289" s="5" t="s">
        <v>359</v>
      </c>
      <c r="J289" s="5" t="s">
        <v>285</v>
      </c>
      <c r="K289" s="5" t="s">
        <v>389</v>
      </c>
      <c r="L289" s="5">
        <v>4065206</v>
      </c>
    </row>
    <row r="290" spans="1:12" ht="16.5" customHeight="1" x14ac:dyDescent="0.25">
      <c r="A290" s="4">
        <v>46236</v>
      </c>
      <c r="B290" s="5" t="s">
        <v>363</v>
      </c>
      <c r="C290" s="6">
        <v>4</v>
      </c>
      <c r="D290" s="5" t="s">
        <v>100</v>
      </c>
      <c r="E290" s="5">
        <v>11500</v>
      </c>
      <c r="F290" s="7">
        <f t="shared" si="12"/>
        <v>46000</v>
      </c>
      <c r="G290" s="7">
        <f t="shared" si="13"/>
        <v>8740</v>
      </c>
      <c r="H290" s="7">
        <f t="shared" si="14"/>
        <v>54740</v>
      </c>
      <c r="I290" s="5" t="s">
        <v>364</v>
      </c>
      <c r="J290" s="5" t="s">
        <v>285</v>
      </c>
      <c r="K290" s="5" t="s">
        <v>365</v>
      </c>
      <c r="L290" s="5">
        <v>4065212</v>
      </c>
    </row>
    <row r="291" spans="1:12" x14ac:dyDescent="0.25">
      <c r="A291" s="4">
        <v>46222</v>
      </c>
      <c r="B291" s="5" t="s">
        <v>366</v>
      </c>
      <c r="C291" s="6">
        <v>1</v>
      </c>
      <c r="D291" s="5" t="s">
        <v>100</v>
      </c>
      <c r="E291" s="7">
        <v>7500</v>
      </c>
      <c r="F291" s="7">
        <f t="shared" si="12"/>
        <v>7500</v>
      </c>
      <c r="G291" s="7">
        <f t="shared" si="13"/>
        <v>1425</v>
      </c>
      <c r="H291" s="7">
        <f t="shared" si="14"/>
        <v>8925</v>
      </c>
      <c r="I291" t="s">
        <v>178</v>
      </c>
      <c r="J291" t="s">
        <v>15</v>
      </c>
      <c r="K291" t="s">
        <v>417</v>
      </c>
      <c r="L291">
        <v>4065211</v>
      </c>
    </row>
    <row r="292" spans="1:12" x14ac:dyDescent="0.25">
      <c r="A292" s="4">
        <v>46225</v>
      </c>
      <c r="B292" s="5" t="s">
        <v>367</v>
      </c>
      <c r="C292" s="6">
        <v>1448.5</v>
      </c>
      <c r="D292" s="5" t="s">
        <v>287</v>
      </c>
      <c r="E292" s="7">
        <v>7700</v>
      </c>
      <c r="F292" s="7">
        <f t="shared" si="12"/>
        <v>11153450</v>
      </c>
      <c r="G292" s="7">
        <f t="shared" si="13"/>
        <v>2119155.5</v>
      </c>
      <c r="H292" s="7">
        <f t="shared" si="14"/>
        <v>13272605.5</v>
      </c>
      <c r="I292" t="s">
        <v>288</v>
      </c>
      <c r="J292" t="s">
        <v>285</v>
      </c>
      <c r="K292" t="s">
        <v>418</v>
      </c>
      <c r="L292">
        <v>4065230</v>
      </c>
    </row>
    <row r="293" spans="1:12" x14ac:dyDescent="0.25">
      <c r="A293" s="4">
        <v>46237</v>
      </c>
      <c r="B293" s="5" t="s">
        <v>369</v>
      </c>
      <c r="C293" s="6">
        <v>3</v>
      </c>
      <c r="D293" s="5" t="s">
        <v>100</v>
      </c>
      <c r="E293" s="7">
        <v>460</v>
      </c>
      <c r="F293" s="7">
        <f t="shared" si="12"/>
        <v>1380</v>
      </c>
      <c r="G293" s="7">
        <f t="shared" si="13"/>
        <v>262.2</v>
      </c>
      <c r="H293" s="7">
        <f t="shared" si="14"/>
        <v>1642.2</v>
      </c>
      <c r="I293" s="5" t="s">
        <v>370</v>
      </c>
      <c r="J293" t="s">
        <v>285</v>
      </c>
      <c r="K293" s="5" t="s">
        <v>419</v>
      </c>
      <c r="L293" s="5">
        <v>4065236</v>
      </c>
    </row>
    <row r="294" spans="1:12" x14ac:dyDescent="0.25">
      <c r="A294" s="4">
        <v>46237</v>
      </c>
      <c r="B294" s="5" t="s">
        <v>372</v>
      </c>
      <c r="C294" s="6">
        <v>6</v>
      </c>
      <c r="D294" s="5" t="s">
        <v>100</v>
      </c>
      <c r="E294" s="7">
        <v>900</v>
      </c>
      <c r="F294" s="7">
        <f t="shared" si="12"/>
        <v>5400</v>
      </c>
      <c r="G294" s="7">
        <f t="shared" si="13"/>
        <v>1026</v>
      </c>
      <c r="H294" s="7">
        <f t="shared" si="14"/>
        <v>6426</v>
      </c>
      <c r="I294" s="5" t="s">
        <v>370</v>
      </c>
      <c r="J294" t="s">
        <v>285</v>
      </c>
      <c r="K294" s="5" t="s">
        <v>419</v>
      </c>
      <c r="L294" s="5">
        <v>4065236</v>
      </c>
    </row>
    <row r="295" spans="1:12" x14ac:dyDescent="0.25">
      <c r="A295" s="4">
        <v>46237</v>
      </c>
      <c r="B295" s="5" t="s">
        <v>373</v>
      </c>
      <c r="C295" s="6">
        <v>1</v>
      </c>
      <c r="D295" s="5" t="s">
        <v>100</v>
      </c>
      <c r="E295" s="7">
        <v>17500</v>
      </c>
      <c r="F295" s="7">
        <f t="shared" si="12"/>
        <v>17500</v>
      </c>
      <c r="G295" s="7">
        <f t="shared" si="13"/>
        <v>3325</v>
      </c>
      <c r="H295" s="7">
        <f t="shared" si="14"/>
        <v>20825</v>
      </c>
      <c r="I295" s="5" t="s">
        <v>370</v>
      </c>
      <c r="J295" t="s">
        <v>285</v>
      </c>
      <c r="K295" s="5" t="s">
        <v>419</v>
      </c>
      <c r="L295" s="5">
        <v>4065236</v>
      </c>
    </row>
    <row r="296" spans="1:12" x14ac:dyDescent="0.25">
      <c r="A296" s="4">
        <v>46237</v>
      </c>
      <c r="B296" s="5" t="s">
        <v>374</v>
      </c>
      <c r="C296" s="6">
        <v>1</v>
      </c>
      <c r="D296" s="5" t="s">
        <v>100</v>
      </c>
      <c r="E296" s="7">
        <v>8500</v>
      </c>
      <c r="F296" s="7">
        <f t="shared" si="12"/>
        <v>8500</v>
      </c>
      <c r="G296" s="7">
        <f t="shared" si="13"/>
        <v>1615</v>
      </c>
      <c r="H296" s="7">
        <f t="shared" si="14"/>
        <v>10115</v>
      </c>
      <c r="I296" s="5" t="s">
        <v>370</v>
      </c>
      <c r="J296" t="s">
        <v>285</v>
      </c>
      <c r="K296" s="5" t="s">
        <v>419</v>
      </c>
      <c r="L296" s="5">
        <v>4065236</v>
      </c>
    </row>
    <row r="297" spans="1:12" x14ac:dyDescent="0.25">
      <c r="A297" s="4">
        <v>46237</v>
      </c>
      <c r="B297" s="5" t="s">
        <v>313</v>
      </c>
      <c r="C297" s="6">
        <v>1</v>
      </c>
      <c r="D297" s="5" t="s">
        <v>100</v>
      </c>
      <c r="E297" s="7">
        <v>2000</v>
      </c>
      <c r="F297" s="7">
        <f t="shared" si="12"/>
        <v>2000</v>
      </c>
      <c r="G297" s="7">
        <f t="shared" si="13"/>
        <v>380</v>
      </c>
      <c r="H297" s="7">
        <f t="shared" si="14"/>
        <v>2380</v>
      </c>
      <c r="I297" s="5" t="s">
        <v>370</v>
      </c>
      <c r="J297" t="s">
        <v>285</v>
      </c>
      <c r="K297" s="5" t="s">
        <v>419</v>
      </c>
      <c r="L297" s="5">
        <v>4065236</v>
      </c>
    </row>
    <row r="298" spans="1:12" s="33" customFormat="1" x14ac:dyDescent="0.25">
      <c r="A298" s="34">
        <v>46216</v>
      </c>
      <c r="B298" s="35" t="s">
        <v>375</v>
      </c>
      <c r="C298" s="36">
        <v>80</v>
      </c>
      <c r="D298" s="35" t="s">
        <v>100</v>
      </c>
      <c r="E298" s="37">
        <v>498.55</v>
      </c>
      <c r="F298" s="37">
        <f t="shared" si="12"/>
        <v>39884</v>
      </c>
      <c r="G298" s="37">
        <f t="shared" si="13"/>
        <v>7577.96</v>
      </c>
      <c r="H298" s="37">
        <f t="shared" si="14"/>
        <v>47461.96</v>
      </c>
      <c r="I298" s="35" t="s">
        <v>376</v>
      </c>
      <c r="J298" s="33" t="s">
        <v>15</v>
      </c>
      <c r="K298" s="35"/>
      <c r="L298" s="35">
        <v>4065208</v>
      </c>
    </row>
    <row r="299" spans="1:12" x14ac:dyDescent="0.25">
      <c r="A299" s="2" t="s">
        <v>377</v>
      </c>
      <c r="B299" s="8"/>
      <c r="C299" s="8"/>
      <c r="D299" s="8"/>
      <c r="E299" s="8"/>
      <c r="F299" s="9">
        <f>SUM(F2:F298)</f>
        <v>113849844.64795202</v>
      </c>
      <c r="G299" s="9">
        <f>SUM(G2:G298)</f>
        <v>21631470.483110886</v>
      </c>
      <c r="H299" s="9">
        <f>SUM(H2:H298)</f>
        <v>135481315.1310629</v>
      </c>
      <c r="I299" s="8"/>
      <c r="J299" s="8"/>
      <c r="K299" s="8"/>
      <c r="L299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7"/>
  <sheetViews>
    <sheetView tabSelected="1" zoomScaleNormal="100" workbookViewId="0">
      <selection activeCell="F18" sqref="F18"/>
    </sheetView>
  </sheetViews>
  <sheetFormatPr defaultColWidth="8.7109375" defaultRowHeight="15" x14ac:dyDescent="0.25"/>
  <cols>
    <col min="1" max="1" width="20.85546875" customWidth="1"/>
    <col min="2" max="2" width="48.42578125" customWidth="1"/>
    <col min="3" max="3" width="12" customWidth="1"/>
    <col min="4" max="4" width="11.42578125" customWidth="1"/>
    <col min="5" max="5" width="17.5703125" customWidth="1"/>
    <col min="6" max="6" width="16.85546875" customWidth="1"/>
    <col min="7" max="7" width="14.28515625" customWidth="1"/>
    <col min="8" max="8" width="19.140625" customWidth="1"/>
    <col min="9" max="9" width="44.42578125" customWidth="1"/>
    <col min="10" max="10" width="20.140625" customWidth="1"/>
    <col min="11" max="11" width="21.7109375" customWidth="1"/>
    <col min="12" max="12" width="11" customWidth="1"/>
  </cols>
  <sheetData>
    <row r="1" spans="1:12" ht="38.25" customHeigh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2" t="s">
        <v>11</v>
      </c>
    </row>
    <row r="2" spans="1:12" ht="15" customHeight="1" x14ac:dyDescent="0.25">
      <c r="A2" s="13">
        <v>45668</v>
      </c>
      <c r="B2" s="14" t="s">
        <v>12</v>
      </c>
      <c r="C2" s="15">
        <v>1</v>
      </c>
      <c r="D2" s="14" t="s">
        <v>13</v>
      </c>
      <c r="E2" s="16">
        <v>3100</v>
      </c>
      <c r="F2" s="16">
        <f t="shared" ref="F2:F65" si="0">C2*E2</f>
        <v>3100</v>
      </c>
      <c r="G2" s="16">
        <f t="shared" ref="G2:G65" si="1">F2*0.19</f>
        <v>589</v>
      </c>
      <c r="H2" s="16">
        <f t="shared" ref="H2:H65" si="2">F2+G2</f>
        <v>3689</v>
      </c>
      <c r="I2" s="14" t="s">
        <v>14</v>
      </c>
      <c r="J2" s="14" t="s">
        <v>15</v>
      </c>
      <c r="K2" s="17" t="s">
        <v>16</v>
      </c>
      <c r="L2">
        <v>4065491</v>
      </c>
    </row>
    <row r="3" spans="1:12" ht="15" customHeight="1" x14ac:dyDescent="0.25">
      <c r="A3" s="13">
        <v>45668</v>
      </c>
      <c r="B3" s="14" t="s">
        <v>17</v>
      </c>
      <c r="C3" s="15">
        <v>3</v>
      </c>
      <c r="D3" s="14" t="s">
        <v>13</v>
      </c>
      <c r="E3" s="16">
        <v>2900</v>
      </c>
      <c r="F3" s="16">
        <f t="shared" si="0"/>
        <v>8700</v>
      </c>
      <c r="G3" s="16">
        <f t="shared" si="1"/>
        <v>1653</v>
      </c>
      <c r="H3" s="16">
        <f t="shared" si="2"/>
        <v>10353</v>
      </c>
      <c r="I3" s="14" t="s">
        <v>14</v>
      </c>
      <c r="J3" s="14" t="s">
        <v>15</v>
      </c>
      <c r="K3" s="17" t="s">
        <v>16</v>
      </c>
      <c r="L3">
        <v>4065491</v>
      </c>
    </row>
    <row r="4" spans="1:12" ht="15" customHeight="1" x14ac:dyDescent="0.25">
      <c r="A4" s="13">
        <v>45668</v>
      </c>
      <c r="B4" s="14" t="s">
        <v>18</v>
      </c>
      <c r="C4" s="15">
        <v>5</v>
      </c>
      <c r="D4" s="14" t="s">
        <v>13</v>
      </c>
      <c r="E4" s="16">
        <v>2300</v>
      </c>
      <c r="F4" s="16">
        <f t="shared" si="0"/>
        <v>11500</v>
      </c>
      <c r="G4" s="16">
        <f t="shared" si="1"/>
        <v>2185</v>
      </c>
      <c r="H4" s="16">
        <f t="shared" si="2"/>
        <v>13685</v>
      </c>
      <c r="I4" s="14" t="s">
        <v>14</v>
      </c>
      <c r="J4" s="14" t="s">
        <v>15</v>
      </c>
      <c r="K4" s="17" t="s">
        <v>16</v>
      </c>
      <c r="L4">
        <v>4065491</v>
      </c>
    </row>
    <row r="5" spans="1:12" ht="15" customHeight="1" x14ac:dyDescent="0.25">
      <c r="A5" s="13">
        <v>45668</v>
      </c>
      <c r="B5" s="14" t="s">
        <v>19</v>
      </c>
      <c r="C5" s="15">
        <v>1</v>
      </c>
      <c r="D5" s="14" t="s">
        <v>13</v>
      </c>
      <c r="E5" s="16">
        <v>3800</v>
      </c>
      <c r="F5" s="16">
        <f t="shared" si="0"/>
        <v>3800</v>
      </c>
      <c r="G5" s="16">
        <f t="shared" si="1"/>
        <v>722</v>
      </c>
      <c r="H5" s="16">
        <f t="shared" si="2"/>
        <v>4522</v>
      </c>
      <c r="I5" s="14" t="s">
        <v>14</v>
      </c>
      <c r="J5" s="14" t="s">
        <v>15</v>
      </c>
      <c r="K5" s="17" t="s">
        <v>16</v>
      </c>
      <c r="L5">
        <v>4065491</v>
      </c>
    </row>
    <row r="6" spans="1:12" ht="15" customHeight="1" x14ac:dyDescent="0.25">
      <c r="A6" s="13">
        <v>45668</v>
      </c>
      <c r="B6" s="14" t="s">
        <v>20</v>
      </c>
      <c r="C6" s="15">
        <v>12</v>
      </c>
      <c r="D6" s="14" t="s">
        <v>13</v>
      </c>
      <c r="E6" s="16">
        <v>750</v>
      </c>
      <c r="F6" s="16">
        <f t="shared" si="0"/>
        <v>9000</v>
      </c>
      <c r="G6" s="16">
        <f t="shared" si="1"/>
        <v>1710</v>
      </c>
      <c r="H6" s="16">
        <f t="shared" si="2"/>
        <v>10710</v>
      </c>
      <c r="I6" s="14" t="s">
        <v>14</v>
      </c>
      <c r="J6" s="14" t="s">
        <v>15</v>
      </c>
      <c r="K6" s="17" t="s">
        <v>16</v>
      </c>
      <c r="L6">
        <v>4065491</v>
      </c>
    </row>
    <row r="7" spans="1:12" ht="15" customHeight="1" x14ac:dyDescent="0.25">
      <c r="A7" s="13">
        <v>45668</v>
      </c>
      <c r="B7" s="14" t="s">
        <v>21</v>
      </c>
      <c r="C7" s="15">
        <v>13</v>
      </c>
      <c r="D7" s="14" t="s">
        <v>13</v>
      </c>
      <c r="E7" s="16">
        <v>3100</v>
      </c>
      <c r="F7" s="16">
        <f t="shared" si="0"/>
        <v>40300</v>
      </c>
      <c r="G7" s="16">
        <f t="shared" si="1"/>
        <v>7657</v>
      </c>
      <c r="H7" s="16">
        <f t="shared" si="2"/>
        <v>47957</v>
      </c>
      <c r="I7" s="14" t="s">
        <v>14</v>
      </c>
      <c r="J7" s="14" t="s">
        <v>15</v>
      </c>
      <c r="K7" s="17" t="s">
        <v>16</v>
      </c>
      <c r="L7">
        <v>4065491</v>
      </c>
    </row>
    <row r="8" spans="1:12" s="31" customFormat="1" ht="15" customHeight="1" x14ac:dyDescent="0.25">
      <c r="A8" s="46">
        <v>45668</v>
      </c>
      <c r="B8" s="47" t="s">
        <v>22</v>
      </c>
      <c r="C8" s="48">
        <v>50</v>
      </c>
      <c r="D8" s="47" t="s">
        <v>13</v>
      </c>
      <c r="E8" s="49">
        <v>23361.35</v>
      </c>
      <c r="F8" s="49">
        <f t="shared" si="0"/>
        <v>1168067.5</v>
      </c>
      <c r="G8" s="49">
        <f t="shared" si="1"/>
        <v>221932.82500000001</v>
      </c>
      <c r="H8" s="49">
        <f t="shared" si="2"/>
        <v>1390000.325</v>
      </c>
      <c r="I8" s="47" t="s">
        <v>23</v>
      </c>
      <c r="J8" s="47" t="s">
        <v>15</v>
      </c>
      <c r="K8" s="31" t="s">
        <v>427</v>
      </c>
      <c r="L8" s="31">
        <v>4065460</v>
      </c>
    </row>
    <row r="9" spans="1:12" ht="15" customHeight="1" x14ac:dyDescent="0.25">
      <c r="A9" s="13">
        <v>45929</v>
      </c>
      <c r="B9" s="14" t="s">
        <v>24</v>
      </c>
      <c r="C9" s="15">
        <v>24</v>
      </c>
      <c r="D9" s="14" t="s">
        <v>13</v>
      </c>
      <c r="E9" s="16">
        <v>115</v>
      </c>
      <c r="F9" s="16">
        <f t="shared" si="0"/>
        <v>2760</v>
      </c>
      <c r="G9" s="16">
        <f t="shared" si="1"/>
        <v>524.4</v>
      </c>
      <c r="H9" s="16">
        <f t="shared" si="2"/>
        <v>3284.4</v>
      </c>
      <c r="I9" s="14" t="s">
        <v>25</v>
      </c>
      <c r="J9" s="14" t="s">
        <v>15</v>
      </c>
      <c r="K9" s="38" t="s">
        <v>390</v>
      </c>
      <c r="L9">
        <v>4065495</v>
      </c>
    </row>
    <row r="10" spans="1:12" ht="15" customHeight="1" x14ac:dyDescent="0.25">
      <c r="A10" s="13">
        <v>45929</v>
      </c>
      <c r="B10" s="14" t="s">
        <v>26</v>
      </c>
      <c r="C10" s="15">
        <v>20</v>
      </c>
      <c r="D10" s="14" t="s">
        <v>13</v>
      </c>
      <c r="E10" s="16">
        <v>68</v>
      </c>
      <c r="F10" s="16">
        <f t="shared" si="0"/>
        <v>1360</v>
      </c>
      <c r="G10" s="16">
        <f t="shared" si="1"/>
        <v>258.39999999999998</v>
      </c>
      <c r="H10" s="16">
        <f t="shared" si="2"/>
        <v>1618.4</v>
      </c>
      <c r="I10" s="14" t="s">
        <v>25</v>
      </c>
      <c r="J10" s="14" t="s">
        <v>15</v>
      </c>
      <c r="K10" s="38" t="s">
        <v>390</v>
      </c>
      <c r="L10">
        <v>4065495</v>
      </c>
    </row>
    <row r="11" spans="1:12" ht="15" customHeight="1" x14ac:dyDescent="0.25">
      <c r="A11" s="13">
        <v>45929</v>
      </c>
      <c r="B11" s="14" t="s">
        <v>27</v>
      </c>
      <c r="C11" s="15">
        <v>20</v>
      </c>
      <c r="D11" s="14" t="s">
        <v>13</v>
      </c>
      <c r="E11" s="16">
        <v>127</v>
      </c>
      <c r="F11" s="16">
        <f t="shared" si="0"/>
        <v>2540</v>
      </c>
      <c r="G11" s="16">
        <f t="shared" si="1"/>
        <v>482.6</v>
      </c>
      <c r="H11" s="16">
        <f t="shared" si="2"/>
        <v>3022.6</v>
      </c>
      <c r="I11" s="14" t="s">
        <v>25</v>
      </c>
      <c r="J11" s="14" t="s">
        <v>15</v>
      </c>
      <c r="K11" s="38" t="s">
        <v>390</v>
      </c>
      <c r="L11">
        <v>4065495</v>
      </c>
    </row>
    <row r="12" spans="1:12" ht="15" customHeight="1" x14ac:dyDescent="0.25">
      <c r="A12" s="13">
        <v>45929</v>
      </c>
      <c r="B12" s="14" t="s">
        <v>28</v>
      </c>
      <c r="C12" s="15">
        <v>12</v>
      </c>
      <c r="D12" s="14" t="s">
        <v>13</v>
      </c>
      <c r="E12" s="16">
        <v>345</v>
      </c>
      <c r="F12" s="16">
        <f t="shared" si="0"/>
        <v>4140</v>
      </c>
      <c r="G12" s="16">
        <f t="shared" si="1"/>
        <v>786.6</v>
      </c>
      <c r="H12" s="16">
        <f t="shared" si="2"/>
        <v>4926.6000000000004</v>
      </c>
      <c r="I12" s="14" t="s">
        <v>25</v>
      </c>
      <c r="J12" s="14" t="s">
        <v>15</v>
      </c>
      <c r="K12" s="38" t="s">
        <v>390</v>
      </c>
      <c r="L12">
        <v>4065495</v>
      </c>
    </row>
    <row r="13" spans="1:12" ht="15" customHeight="1" x14ac:dyDescent="0.25">
      <c r="A13" s="13">
        <v>45929</v>
      </c>
      <c r="B13" s="14" t="s">
        <v>29</v>
      </c>
      <c r="C13" s="15">
        <v>1</v>
      </c>
      <c r="D13" s="14" t="s">
        <v>13</v>
      </c>
      <c r="E13" s="16">
        <v>343</v>
      </c>
      <c r="F13" s="16">
        <f t="shared" si="0"/>
        <v>343</v>
      </c>
      <c r="G13" s="16">
        <f t="shared" si="1"/>
        <v>65.17</v>
      </c>
      <c r="H13" s="16">
        <f t="shared" si="2"/>
        <v>408.17</v>
      </c>
      <c r="I13" s="14" t="s">
        <v>25</v>
      </c>
      <c r="J13" s="14" t="s">
        <v>15</v>
      </c>
      <c r="K13" s="38" t="s">
        <v>390</v>
      </c>
      <c r="L13">
        <v>4065495</v>
      </c>
    </row>
    <row r="14" spans="1:12" ht="15" customHeight="1" x14ac:dyDescent="0.25">
      <c r="A14" s="13">
        <v>45929</v>
      </c>
      <c r="B14" s="14" t="s">
        <v>30</v>
      </c>
      <c r="C14" s="15">
        <v>12</v>
      </c>
      <c r="D14" s="14" t="s">
        <v>13</v>
      </c>
      <c r="E14" s="16">
        <v>380</v>
      </c>
      <c r="F14" s="16">
        <f t="shared" si="0"/>
        <v>4560</v>
      </c>
      <c r="G14" s="16">
        <f t="shared" si="1"/>
        <v>866.4</v>
      </c>
      <c r="H14" s="16">
        <f t="shared" si="2"/>
        <v>5426.4</v>
      </c>
      <c r="I14" s="14" t="s">
        <v>25</v>
      </c>
      <c r="J14" s="14" t="s">
        <v>15</v>
      </c>
      <c r="K14" s="38" t="s">
        <v>390</v>
      </c>
      <c r="L14">
        <v>4065495</v>
      </c>
    </row>
    <row r="15" spans="1:12" ht="15" customHeight="1" x14ac:dyDescent="0.25">
      <c r="A15" s="13">
        <v>45929</v>
      </c>
      <c r="B15" s="14" t="s">
        <v>31</v>
      </c>
      <c r="C15" s="15">
        <v>10</v>
      </c>
      <c r="D15" s="14" t="s">
        <v>13</v>
      </c>
      <c r="E15" s="16">
        <v>770</v>
      </c>
      <c r="F15" s="16">
        <f t="shared" si="0"/>
        <v>7700</v>
      </c>
      <c r="G15" s="16">
        <f t="shared" si="1"/>
        <v>1463</v>
      </c>
      <c r="H15" s="16">
        <f t="shared" si="2"/>
        <v>9163</v>
      </c>
      <c r="I15" s="14" t="s">
        <v>25</v>
      </c>
      <c r="J15" s="14" t="s">
        <v>15</v>
      </c>
      <c r="K15" s="38" t="s">
        <v>390</v>
      </c>
      <c r="L15">
        <v>4065495</v>
      </c>
    </row>
    <row r="16" spans="1:12" ht="15" customHeight="1" x14ac:dyDescent="0.25">
      <c r="A16" s="13">
        <v>45929</v>
      </c>
      <c r="B16" s="14" t="s">
        <v>32</v>
      </c>
      <c r="C16" s="15">
        <v>10</v>
      </c>
      <c r="D16" s="14" t="s">
        <v>13</v>
      </c>
      <c r="E16" s="16">
        <v>155</v>
      </c>
      <c r="F16" s="16">
        <f t="shared" si="0"/>
        <v>1550</v>
      </c>
      <c r="G16" s="16">
        <f t="shared" si="1"/>
        <v>294.5</v>
      </c>
      <c r="H16" s="16">
        <f t="shared" si="2"/>
        <v>1844.5</v>
      </c>
      <c r="I16" s="14" t="s">
        <v>25</v>
      </c>
      <c r="J16" s="14" t="s">
        <v>15</v>
      </c>
      <c r="K16" s="38" t="s">
        <v>390</v>
      </c>
      <c r="L16">
        <v>4065495</v>
      </c>
    </row>
    <row r="17" spans="1:12" ht="15" customHeight="1" x14ac:dyDescent="0.25">
      <c r="A17" s="13">
        <v>45929</v>
      </c>
      <c r="B17" s="14" t="s">
        <v>33</v>
      </c>
      <c r="C17" s="15">
        <v>10</v>
      </c>
      <c r="D17" s="14" t="s">
        <v>13</v>
      </c>
      <c r="E17" s="16">
        <v>155</v>
      </c>
      <c r="F17" s="16">
        <f t="shared" si="0"/>
        <v>1550</v>
      </c>
      <c r="G17" s="16">
        <f t="shared" si="1"/>
        <v>294.5</v>
      </c>
      <c r="H17" s="16">
        <f t="shared" si="2"/>
        <v>1844.5</v>
      </c>
      <c r="I17" s="14" t="s">
        <v>25</v>
      </c>
      <c r="J17" s="14" t="s">
        <v>15</v>
      </c>
      <c r="K17" s="38" t="s">
        <v>390</v>
      </c>
      <c r="L17">
        <v>4065495</v>
      </c>
    </row>
    <row r="18" spans="1:12" ht="15" customHeight="1" x14ac:dyDescent="0.25">
      <c r="A18" s="13">
        <v>45929</v>
      </c>
      <c r="B18" s="14" t="s">
        <v>34</v>
      </c>
      <c r="C18" s="15">
        <v>10</v>
      </c>
      <c r="D18" s="14" t="s">
        <v>13</v>
      </c>
      <c r="E18" s="16">
        <v>26500</v>
      </c>
      <c r="F18" s="16">
        <f t="shared" si="0"/>
        <v>265000</v>
      </c>
      <c r="G18" s="16">
        <f t="shared" si="1"/>
        <v>50350</v>
      </c>
      <c r="H18" s="16">
        <f t="shared" si="2"/>
        <v>315350</v>
      </c>
      <c r="I18" s="14" t="s">
        <v>25</v>
      </c>
      <c r="J18" s="14" t="s">
        <v>15</v>
      </c>
      <c r="K18" s="38" t="s">
        <v>390</v>
      </c>
      <c r="L18">
        <v>4065495</v>
      </c>
    </row>
    <row r="19" spans="1:12" ht="15" customHeight="1" x14ac:dyDescent="0.25">
      <c r="A19" s="13">
        <v>45929</v>
      </c>
      <c r="B19" s="14" t="s">
        <v>35</v>
      </c>
      <c r="C19" s="15">
        <v>10</v>
      </c>
      <c r="D19" s="14" t="s">
        <v>13</v>
      </c>
      <c r="E19" s="16">
        <v>295</v>
      </c>
      <c r="F19" s="16">
        <f t="shared" si="0"/>
        <v>2950</v>
      </c>
      <c r="G19" s="16">
        <f t="shared" si="1"/>
        <v>560.5</v>
      </c>
      <c r="H19" s="16">
        <f t="shared" si="2"/>
        <v>3510.5</v>
      </c>
      <c r="I19" s="14" t="s">
        <v>25</v>
      </c>
      <c r="J19" s="14" t="s">
        <v>15</v>
      </c>
      <c r="K19" s="38" t="s">
        <v>390</v>
      </c>
      <c r="L19">
        <v>4065495</v>
      </c>
    </row>
    <row r="20" spans="1:12" ht="15" customHeight="1" x14ac:dyDescent="0.25">
      <c r="A20" s="13">
        <v>45929</v>
      </c>
      <c r="B20" s="14" t="s">
        <v>36</v>
      </c>
      <c r="C20" s="15">
        <v>8</v>
      </c>
      <c r="D20" s="14" t="s">
        <v>13</v>
      </c>
      <c r="E20" s="16">
        <v>127.4</v>
      </c>
      <c r="F20" s="16">
        <f t="shared" si="0"/>
        <v>1019.2</v>
      </c>
      <c r="G20" s="16">
        <f t="shared" si="1"/>
        <v>193.64800000000002</v>
      </c>
      <c r="H20" s="16">
        <f t="shared" si="2"/>
        <v>1212.848</v>
      </c>
      <c r="I20" s="14" t="s">
        <v>25</v>
      </c>
      <c r="J20" s="14" t="s">
        <v>15</v>
      </c>
      <c r="K20" s="38" t="s">
        <v>390</v>
      </c>
      <c r="L20">
        <v>4065495</v>
      </c>
    </row>
    <row r="21" spans="1:12" ht="15" customHeight="1" x14ac:dyDescent="0.25">
      <c r="A21" s="13">
        <v>45929</v>
      </c>
      <c r="B21" s="14" t="s">
        <v>37</v>
      </c>
      <c r="C21" s="15">
        <v>5</v>
      </c>
      <c r="D21" s="14" t="s">
        <v>13</v>
      </c>
      <c r="E21" s="16">
        <v>120</v>
      </c>
      <c r="F21" s="16">
        <f t="shared" si="0"/>
        <v>600</v>
      </c>
      <c r="G21" s="16">
        <f t="shared" si="1"/>
        <v>114</v>
      </c>
      <c r="H21" s="16">
        <f t="shared" si="2"/>
        <v>714</v>
      </c>
      <c r="I21" s="14" t="s">
        <v>25</v>
      </c>
      <c r="J21" s="14" t="s">
        <v>15</v>
      </c>
      <c r="K21" s="38" t="s">
        <v>390</v>
      </c>
      <c r="L21">
        <v>4065495</v>
      </c>
    </row>
    <row r="22" spans="1:12" ht="15" customHeight="1" x14ac:dyDescent="0.25">
      <c r="A22" s="13">
        <v>45929</v>
      </c>
      <c r="B22" s="14" t="s">
        <v>38</v>
      </c>
      <c r="C22" s="15">
        <v>50</v>
      </c>
      <c r="D22" s="14" t="s">
        <v>13</v>
      </c>
      <c r="E22" s="16">
        <v>30</v>
      </c>
      <c r="F22" s="16">
        <f t="shared" si="0"/>
        <v>1500</v>
      </c>
      <c r="G22" s="16">
        <f t="shared" si="1"/>
        <v>285</v>
      </c>
      <c r="H22" s="16">
        <f t="shared" si="2"/>
        <v>1785</v>
      </c>
      <c r="I22" s="14" t="s">
        <v>25</v>
      </c>
      <c r="J22" s="14" t="s">
        <v>15</v>
      </c>
      <c r="K22" s="38" t="s">
        <v>390</v>
      </c>
      <c r="L22">
        <v>4065495</v>
      </c>
    </row>
    <row r="23" spans="1:12" ht="15" customHeight="1" x14ac:dyDescent="0.25">
      <c r="A23" s="13">
        <v>45929</v>
      </c>
      <c r="B23" s="14" t="s">
        <v>39</v>
      </c>
      <c r="C23" s="15">
        <v>5</v>
      </c>
      <c r="D23" s="14" t="s">
        <v>13</v>
      </c>
      <c r="E23" s="16">
        <v>168</v>
      </c>
      <c r="F23" s="16">
        <f t="shared" si="0"/>
        <v>840</v>
      </c>
      <c r="G23" s="16">
        <f t="shared" si="1"/>
        <v>159.6</v>
      </c>
      <c r="H23" s="16">
        <f t="shared" si="2"/>
        <v>999.6</v>
      </c>
      <c r="I23" s="14" t="s">
        <v>25</v>
      </c>
      <c r="J23" s="14" t="s">
        <v>15</v>
      </c>
      <c r="K23" s="38" t="s">
        <v>390</v>
      </c>
      <c r="L23">
        <v>4065495</v>
      </c>
    </row>
    <row r="24" spans="1:12" ht="15" customHeight="1" x14ac:dyDescent="0.25">
      <c r="A24" s="13">
        <v>45929</v>
      </c>
      <c r="B24" s="14" t="s">
        <v>40</v>
      </c>
      <c r="C24" s="15">
        <v>5</v>
      </c>
      <c r="D24" s="14" t="s">
        <v>13</v>
      </c>
      <c r="E24" s="16">
        <v>204</v>
      </c>
      <c r="F24" s="16">
        <f t="shared" si="0"/>
        <v>1020</v>
      </c>
      <c r="G24" s="16">
        <f t="shared" si="1"/>
        <v>193.8</v>
      </c>
      <c r="H24" s="16">
        <f t="shared" si="2"/>
        <v>1213.8</v>
      </c>
      <c r="I24" s="14" t="s">
        <v>25</v>
      </c>
      <c r="J24" s="14" t="s">
        <v>15</v>
      </c>
      <c r="K24" s="38" t="s">
        <v>390</v>
      </c>
      <c r="L24">
        <v>4065495</v>
      </c>
    </row>
    <row r="25" spans="1:12" ht="15" customHeight="1" x14ac:dyDescent="0.25">
      <c r="A25" s="13">
        <v>45929</v>
      </c>
      <c r="B25" s="14" t="s">
        <v>41</v>
      </c>
      <c r="C25" s="15">
        <v>5</v>
      </c>
      <c r="D25" s="14" t="s">
        <v>13</v>
      </c>
      <c r="E25" s="16">
        <v>225</v>
      </c>
      <c r="F25" s="16">
        <f t="shared" si="0"/>
        <v>1125</v>
      </c>
      <c r="G25" s="16">
        <f t="shared" si="1"/>
        <v>213.75</v>
      </c>
      <c r="H25" s="16">
        <f t="shared" si="2"/>
        <v>1338.75</v>
      </c>
      <c r="I25" s="14" t="s">
        <v>25</v>
      </c>
      <c r="J25" s="14" t="s">
        <v>15</v>
      </c>
      <c r="K25" s="38" t="s">
        <v>390</v>
      </c>
      <c r="L25">
        <v>4065495</v>
      </c>
    </row>
    <row r="26" spans="1:12" ht="15" customHeight="1" x14ac:dyDescent="0.25">
      <c r="A26" s="13">
        <v>45929</v>
      </c>
      <c r="B26" s="14" t="s">
        <v>42</v>
      </c>
      <c r="C26" s="15">
        <v>1</v>
      </c>
      <c r="D26" s="14" t="s">
        <v>13</v>
      </c>
      <c r="E26" s="16">
        <v>4850</v>
      </c>
      <c r="F26" s="16">
        <f t="shared" si="0"/>
        <v>4850</v>
      </c>
      <c r="G26" s="16">
        <f t="shared" si="1"/>
        <v>921.5</v>
      </c>
      <c r="H26" s="16">
        <f t="shared" si="2"/>
        <v>5771.5</v>
      </c>
      <c r="I26" s="14" t="s">
        <v>25</v>
      </c>
      <c r="J26" s="14" t="s">
        <v>15</v>
      </c>
      <c r="K26" s="38" t="s">
        <v>390</v>
      </c>
      <c r="L26">
        <v>4065495</v>
      </c>
    </row>
    <row r="27" spans="1:12" ht="15" customHeight="1" x14ac:dyDescent="0.25">
      <c r="A27" s="13">
        <v>45929</v>
      </c>
      <c r="B27" s="14" t="s">
        <v>43</v>
      </c>
      <c r="C27" s="15">
        <v>12</v>
      </c>
      <c r="D27" s="14" t="s">
        <v>13</v>
      </c>
      <c r="E27" s="16">
        <v>228</v>
      </c>
      <c r="F27" s="16">
        <f t="shared" si="0"/>
        <v>2736</v>
      </c>
      <c r="G27" s="16">
        <f t="shared" si="1"/>
        <v>519.84</v>
      </c>
      <c r="H27" s="16">
        <f t="shared" si="2"/>
        <v>3255.84</v>
      </c>
      <c r="I27" s="14" t="s">
        <v>25</v>
      </c>
      <c r="J27" s="14" t="s">
        <v>15</v>
      </c>
      <c r="K27" s="38" t="s">
        <v>390</v>
      </c>
      <c r="L27">
        <v>4065495</v>
      </c>
    </row>
    <row r="28" spans="1:12" ht="15" customHeight="1" x14ac:dyDescent="0.25">
      <c r="A28" s="13">
        <v>45929</v>
      </c>
      <c r="B28" s="14" t="s">
        <v>44</v>
      </c>
      <c r="C28" s="15">
        <v>2</v>
      </c>
      <c r="D28" s="14" t="s">
        <v>13</v>
      </c>
      <c r="E28" s="16">
        <v>254.36</v>
      </c>
      <c r="F28" s="16">
        <f t="shared" si="0"/>
        <v>508.72</v>
      </c>
      <c r="G28" s="16">
        <f t="shared" si="1"/>
        <v>96.656800000000004</v>
      </c>
      <c r="H28" s="16">
        <f t="shared" si="2"/>
        <v>605.3768</v>
      </c>
      <c r="I28" s="14" t="s">
        <v>25</v>
      </c>
      <c r="J28" s="14" t="s">
        <v>15</v>
      </c>
      <c r="K28" s="38" t="s">
        <v>390</v>
      </c>
      <c r="L28">
        <v>4065495</v>
      </c>
    </row>
    <row r="29" spans="1:12" ht="15" customHeight="1" x14ac:dyDescent="0.25">
      <c r="A29" s="13">
        <v>45929</v>
      </c>
      <c r="B29" s="14" t="s">
        <v>45</v>
      </c>
      <c r="C29" s="15">
        <v>10</v>
      </c>
      <c r="D29" s="14" t="s">
        <v>13</v>
      </c>
      <c r="E29" s="16">
        <v>129.72999999999999</v>
      </c>
      <c r="F29" s="16">
        <f t="shared" si="0"/>
        <v>1297.3</v>
      </c>
      <c r="G29" s="16">
        <f t="shared" si="1"/>
        <v>246.48699999999999</v>
      </c>
      <c r="H29" s="16">
        <f t="shared" si="2"/>
        <v>1543.787</v>
      </c>
      <c r="I29" s="14" t="s">
        <v>25</v>
      </c>
      <c r="J29" s="14" t="s">
        <v>15</v>
      </c>
      <c r="K29" s="38" t="s">
        <v>390</v>
      </c>
      <c r="L29">
        <v>4065495</v>
      </c>
    </row>
    <row r="30" spans="1:12" ht="15" customHeight="1" x14ac:dyDescent="0.25">
      <c r="A30" s="13">
        <v>45929</v>
      </c>
      <c r="B30" s="14" t="s">
        <v>46</v>
      </c>
      <c r="C30" s="15">
        <v>2</v>
      </c>
      <c r="D30" s="14" t="s">
        <v>13</v>
      </c>
      <c r="E30" s="16">
        <v>468</v>
      </c>
      <c r="F30" s="16">
        <f t="shared" si="0"/>
        <v>936</v>
      </c>
      <c r="G30" s="16">
        <f t="shared" si="1"/>
        <v>177.84</v>
      </c>
      <c r="H30" s="16">
        <f t="shared" si="2"/>
        <v>1113.8399999999999</v>
      </c>
      <c r="I30" s="14" t="s">
        <v>25</v>
      </c>
      <c r="J30" s="14" t="s">
        <v>15</v>
      </c>
      <c r="K30" s="38" t="s">
        <v>390</v>
      </c>
      <c r="L30">
        <v>4065495</v>
      </c>
    </row>
    <row r="31" spans="1:12" ht="15" customHeight="1" x14ac:dyDescent="0.25">
      <c r="A31" s="13">
        <v>45929</v>
      </c>
      <c r="B31" s="14" t="s">
        <v>47</v>
      </c>
      <c r="C31" s="15">
        <v>3</v>
      </c>
      <c r="D31" s="14" t="s">
        <v>13</v>
      </c>
      <c r="E31" s="16">
        <v>4880</v>
      </c>
      <c r="F31" s="16">
        <f t="shared" si="0"/>
        <v>14640</v>
      </c>
      <c r="G31" s="16">
        <f t="shared" si="1"/>
        <v>2781.6</v>
      </c>
      <c r="H31" s="16">
        <f t="shared" si="2"/>
        <v>17421.599999999999</v>
      </c>
      <c r="I31" s="14" t="s">
        <v>25</v>
      </c>
      <c r="J31" s="14" t="s">
        <v>15</v>
      </c>
      <c r="K31" s="38" t="s">
        <v>390</v>
      </c>
      <c r="L31">
        <v>4065495</v>
      </c>
    </row>
    <row r="32" spans="1:12" ht="15" customHeight="1" x14ac:dyDescent="0.25">
      <c r="A32" s="13">
        <v>45929</v>
      </c>
      <c r="B32" s="14" t="s">
        <v>48</v>
      </c>
      <c r="C32" s="15">
        <v>20</v>
      </c>
      <c r="D32" s="14" t="s">
        <v>13</v>
      </c>
      <c r="E32" s="16">
        <v>264.5</v>
      </c>
      <c r="F32" s="16">
        <f t="shared" si="0"/>
        <v>5290</v>
      </c>
      <c r="G32" s="16">
        <f t="shared" si="1"/>
        <v>1005.1</v>
      </c>
      <c r="H32" s="16">
        <f t="shared" si="2"/>
        <v>6295.1</v>
      </c>
      <c r="I32" s="14" t="s">
        <v>25</v>
      </c>
      <c r="J32" s="14" t="s">
        <v>15</v>
      </c>
      <c r="K32" s="38" t="s">
        <v>390</v>
      </c>
      <c r="L32">
        <v>4065495</v>
      </c>
    </row>
    <row r="33" spans="1:12" ht="15" customHeight="1" x14ac:dyDescent="0.25">
      <c r="A33" s="13">
        <v>45929</v>
      </c>
      <c r="B33" s="14" t="s">
        <v>49</v>
      </c>
      <c r="C33" s="15">
        <v>2</v>
      </c>
      <c r="D33" s="14" t="s">
        <v>13</v>
      </c>
      <c r="E33" s="16">
        <v>11765</v>
      </c>
      <c r="F33" s="16">
        <f t="shared" si="0"/>
        <v>23530</v>
      </c>
      <c r="G33" s="16">
        <f t="shared" si="1"/>
        <v>4470.7</v>
      </c>
      <c r="H33" s="16">
        <f t="shared" si="2"/>
        <v>28000.7</v>
      </c>
      <c r="I33" s="14" t="s">
        <v>25</v>
      </c>
      <c r="J33" s="14" t="s">
        <v>15</v>
      </c>
      <c r="K33" s="38" t="s">
        <v>390</v>
      </c>
      <c r="L33">
        <v>4065495</v>
      </c>
    </row>
    <row r="34" spans="1:12" ht="15" customHeight="1" x14ac:dyDescent="0.25">
      <c r="A34" s="13">
        <v>45929</v>
      </c>
      <c r="B34" s="14" t="s">
        <v>50</v>
      </c>
      <c r="C34" s="15">
        <v>2</v>
      </c>
      <c r="D34" s="14" t="s">
        <v>13</v>
      </c>
      <c r="E34" s="16">
        <v>1708</v>
      </c>
      <c r="F34" s="16">
        <f t="shared" si="0"/>
        <v>3416</v>
      </c>
      <c r="G34" s="16">
        <f t="shared" si="1"/>
        <v>649.04</v>
      </c>
      <c r="H34" s="16">
        <f t="shared" si="2"/>
        <v>4065.04</v>
      </c>
      <c r="I34" s="14" t="s">
        <v>25</v>
      </c>
      <c r="J34" s="14" t="s">
        <v>15</v>
      </c>
      <c r="K34" s="38" t="s">
        <v>390</v>
      </c>
      <c r="L34">
        <v>4065495</v>
      </c>
    </row>
    <row r="35" spans="1:12" ht="15" customHeight="1" x14ac:dyDescent="0.25">
      <c r="A35" s="13">
        <v>45929</v>
      </c>
      <c r="B35" s="14" t="s">
        <v>51</v>
      </c>
      <c r="C35" s="15">
        <v>1</v>
      </c>
      <c r="D35" s="14" t="s">
        <v>13</v>
      </c>
      <c r="E35" s="16">
        <v>90</v>
      </c>
      <c r="F35" s="16">
        <f t="shared" si="0"/>
        <v>90</v>
      </c>
      <c r="G35" s="16">
        <f t="shared" si="1"/>
        <v>17.100000000000001</v>
      </c>
      <c r="H35" s="16">
        <f t="shared" si="2"/>
        <v>107.1</v>
      </c>
      <c r="I35" s="14" t="s">
        <v>25</v>
      </c>
      <c r="J35" s="14" t="s">
        <v>15</v>
      </c>
      <c r="K35" s="38" t="s">
        <v>390</v>
      </c>
      <c r="L35">
        <v>4065495</v>
      </c>
    </row>
    <row r="36" spans="1:12" ht="15" customHeight="1" x14ac:dyDescent="0.25">
      <c r="A36" s="13">
        <v>45929</v>
      </c>
      <c r="B36" s="14" t="s">
        <v>35</v>
      </c>
      <c r="C36" s="15">
        <v>4</v>
      </c>
      <c r="D36" s="14" t="s">
        <v>13</v>
      </c>
      <c r="E36" s="16">
        <v>295</v>
      </c>
      <c r="F36" s="16">
        <f t="shared" si="0"/>
        <v>1180</v>
      </c>
      <c r="G36" s="16">
        <f t="shared" si="1"/>
        <v>224.2</v>
      </c>
      <c r="H36" s="16">
        <f t="shared" si="2"/>
        <v>1404.2</v>
      </c>
      <c r="I36" s="14" t="s">
        <v>25</v>
      </c>
      <c r="J36" s="14" t="s">
        <v>15</v>
      </c>
      <c r="K36" s="38" t="s">
        <v>390</v>
      </c>
      <c r="L36">
        <v>4065495</v>
      </c>
    </row>
    <row r="37" spans="1:12" ht="15" customHeight="1" x14ac:dyDescent="0.25">
      <c r="A37" s="13">
        <v>45929</v>
      </c>
      <c r="B37" s="14" t="s">
        <v>52</v>
      </c>
      <c r="C37" s="15">
        <v>1</v>
      </c>
      <c r="D37" s="14" t="s">
        <v>13</v>
      </c>
      <c r="E37" s="16">
        <v>1350</v>
      </c>
      <c r="F37" s="16">
        <f t="shared" si="0"/>
        <v>1350</v>
      </c>
      <c r="G37" s="16">
        <f t="shared" si="1"/>
        <v>256.5</v>
      </c>
      <c r="H37" s="16">
        <f t="shared" si="2"/>
        <v>1606.5</v>
      </c>
      <c r="I37" s="14" t="s">
        <v>25</v>
      </c>
      <c r="J37" s="14" t="s">
        <v>15</v>
      </c>
      <c r="K37" s="38" t="s">
        <v>390</v>
      </c>
      <c r="L37">
        <v>4065495</v>
      </c>
    </row>
    <row r="38" spans="1:12" ht="15" customHeight="1" x14ac:dyDescent="0.25">
      <c r="A38" s="13">
        <v>45965</v>
      </c>
      <c r="B38" s="14" t="s">
        <v>53</v>
      </c>
      <c r="C38" s="15">
        <v>2</v>
      </c>
      <c r="D38" s="14" t="s">
        <v>13</v>
      </c>
      <c r="E38" s="16">
        <v>939</v>
      </c>
      <c r="F38" s="16">
        <f t="shared" si="0"/>
        <v>1878</v>
      </c>
      <c r="G38" s="16">
        <f t="shared" si="1"/>
        <v>356.82</v>
      </c>
      <c r="H38" s="16">
        <f t="shared" si="2"/>
        <v>2234.8200000000002</v>
      </c>
      <c r="I38" s="14" t="s">
        <v>54</v>
      </c>
      <c r="J38" s="14" t="s">
        <v>15</v>
      </c>
      <c r="K38" s="38" t="s">
        <v>391</v>
      </c>
      <c r="L38">
        <v>3165209</v>
      </c>
    </row>
    <row r="39" spans="1:12" ht="15" customHeight="1" x14ac:dyDescent="0.25">
      <c r="A39" s="13">
        <v>45965</v>
      </c>
      <c r="B39" s="14" t="s">
        <v>55</v>
      </c>
      <c r="C39" s="15">
        <v>2</v>
      </c>
      <c r="D39" s="14" t="s">
        <v>13</v>
      </c>
      <c r="E39" s="16">
        <v>693</v>
      </c>
      <c r="F39" s="16">
        <f t="shared" si="0"/>
        <v>1386</v>
      </c>
      <c r="G39" s="16">
        <f t="shared" si="1"/>
        <v>263.33999999999997</v>
      </c>
      <c r="H39" s="16">
        <f t="shared" si="2"/>
        <v>1649.34</v>
      </c>
      <c r="I39" s="14" t="s">
        <v>54</v>
      </c>
      <c r="J39" s="14" t="s">
        <v>15</v>
      </c>
      <c r="K39" s="38" t="s">
        <v>391</v>
      </c>
      <c r="L39">
        <v>3165209</v>
      </c>
    </row>
    <row r="40" spans="1:12" ht="15" customHeight="1" x14ac:dyDescent="0.25">
      <c r="A40" s="13">
        <v>45965</v>
      </c>
      <c r="B40" s="14" t="s">
        <v>56</v>
      </c>
      <c r="C40" s="15">
        <v>1</v>
      </c>
      <c r="D40" s="14" t="s">
        <v>13</v>
      </c>
      <c r="E40" s="16">
        <v>5068</v>
      </c>
      <c r="F40" s="16">
        <f t="shared" si="0"/>
        <v>5068</v>
      </c>
      <c r="G40" s="16">
        <f t="shared" si="1"/>
        <v>962.92</v>
      </c>
      <c r="H40" s="16">
        <f t="shared" si="2"/>
        <v>6030.92</v>
      </c>
      <c r="I40" s="14" t="s">
        <v>54</v>
      </c>
      <c r="J40" s="14" t="s">
        <v>15</v>
      </c>
      <c r="K40" s="38" t="s">
        <v>391</v>
      </c>
      <c r="L40">
        <v>3165209</v>
      </c>
    </row>
    <row r="41" spans="1:12" ht="15" customHeight="1" x14ac:dyDescent="0.25">
      <c r="A41" s="13">
        <v>45965</v>
      </c>
      <c r="B41" s="14" t="s">
        <v>57</v>
      </c>
      <c r="C41" s="15">
        <v>1</v>
      </c>
      <c r="D41" s="14" t="s">
        <v>13</v>
      </c>
      <c r="E41" s="16">
        <v>1347</v>
      </c>
      <c r="F41" s="16">
        <f t="shared" si="0"/>
        <v>1347</v>
      </c>
      <c r="G41" s="16">
        <f t="shared" si="1"/>
        <v>255.93</v>
      </c>
      <c r="H41" s="16">
        <f t="shared" si="2"/>
        <v>1602.93</v>
      </c>
      <c r="I41" s="14" t="s">
        <v>54</v>
      </c>
      <c r="J41" s="14" t="s">
        <v>15</v>
      </c>
      <c r="K41" s="38" t="s">
        <v>391</v>
      </c>
      <c r="L41">
        <v>3165209</v>
      </c>
    </row>
    <row r="42" spans="1:12" ht="15" customHeight="1" x14ac:dyDescent="0.25">
      <c r="A42" s="13">
        <v>45965</v>
      </c>
      <c r="B42" s="14" t="s">
        <v>58</v>
      </c>
      <c r="C42" s="15">
        <v>1</v>
      </c>
      <c r="D42" s="14" t="s">
        <v>13</v>
      </c>
      <c r="E42" s="16">
        <v>21176.47</v>
      </c>
      <c r="F42" s="16">
        <f t="shared" si="0"/>
        <v>21176.47</v>
      </c>
      <c r="G42" s="16">
        <f t="shared" si="1"/>
        <v>4023.5293000000001</v>
      </c>
      <c r="H42" s="16">
        <f t="shared" si="2"/>
        <v>25199.999300000003</v>
      </c>
      <c r="I42" s="14" t="s">
        <v>59</v>
      </c>
      <c r="J42" s="14" t="s">
        <v>15</v>
      </c>
      <c r="K42" s="38" t="s">
        <v>391</v>
      </c>
      <c r="L42">
        <v>3165209</v>
      </c>
    </row>
    <row r="43" spans="1:12" ht="15" customHeight="1" x14ac:dyDescent="0.25">
      <c r="A43" s="13">
        <v>46054</v>
      </c>
      <c r="B43" s="14" t="s">
        <v>60</v>
      </c>
      <c r="C43" s="15">
        <v>2</v>
      </c>
      <c r="D43" s="14" t="s">
        <v>13</v>
      </c>
      <c r="E43" s="16">
        <v>5411.67</v>
      </c>
      <c r="F43" s="16">
        <f t="shared" si="0"/>
        <v>10823.34</v>
      </c>
      <c r="G43" s="16">
        <f t="shared" si="1"/>
        <v>2056.4346</v>
      </c>
      <c r="H43" s="16">
        <f t="shared" si="2"/>
        <v>12879.774600000001</v>
      </c>
      <c r="I43" s="14" t="s">
        <v>61</v>
      </c>
      <c r="J43" s="14" t="s">
        <v>15</v>
      </c>
      <c r="K43" s="17" t="s">
        <v>62</v>
      </c>
      <c r="L43" s="17" t="s">
        <v>63</v>
      </c>
    </row>
    <row r="44" spans="1:12" ht="15" customHeight="1" x14ac:dyDescent="0.25">
      <c r="A44" s="13">
        <v>46054</v>
      </c>
      <c r="B44" s="14" t="s">
        <v>64</v>
      </c>
      <c r="C44" s="15">
        <v>8</v>
      </c>
      <c r="D44" s="14" t="s">
        <v>13</v>
      </c>
      <c r="E44" s="16">
        <v>6454.04</v>
      </c>
      <c r="F44" s="16">
        <f t="shared" si="0"/>
        <v>51632.32</v>
      </c>
      <c r="G44" s="16">
        <f t="shared" si="1"/>
        <v>9810.1407999999992</v>
      </c>
      <c r="H44" s="16">
        <f t="shared" si="2"/>
        <v>61442.460800000001</v>
      </c>
      <c r="I44" s="14" t="s">
        <v>61</v>
      </c>
      <c r="J44" s="14" t="s">
        <v>15</v>
      </c>
      <c r="K44" s="17" t="s">
        <v>62</v>
      </c>
      <c r="L44" s="17" t="s">
        <v>63</v>
      </c>
    </row>
    <row r="45" spans="1:12" ht="15" customHeight="1" x14ac:dyDescent="0.25">
      <c r="A45" s="13">
        <v>46054</v>
      </c>
      <c r="B45" s="14" t="s">
        <v>65</v>
      </c>
      <c r="C45" s="15">
        <v>14</v>
      </c>
      <c r="D45" s="14" t="s">
        <v>13</v>
      </c>
      <c r="E45" s="16">
        <v>5777.31</v>
      </c>
      <c r="F45" s="16">
        <f t="shared" si="0"/>
        <v>80882.340000000011</v>
      </c>
      <c r="G45" s="16">
        <f t="shared" si="1"/>
        <v>15367.644600000001</v>
      </c>
      <c r="H45" s="16">
        <f t="shared" si="2"/>
        <v>96249.984600000011</v>
      </c>
      <c r="I45" s="14" t="s">
        <v>61</v>
      </c>
      <c r="J45" s="14" t="s">
        <v>15</v>
      </c>
      <c r="K45" s="17" t="s">
        <v>62</v>
      </c>
      <c r="L45" s="17" t="s">
        <v>63</v>
      </c>
    </row>
    <row r="46" spans="1:12" ht="15" customHeight="1" x14ac:dyDescent="0.25">
      <c r="A46" s="13">
        <v>46054</v>
      </c>
      <c r="B46" s="14" t="s">
        <v>66</v>
      </c>
      <c r="C46" s="15">
        <v>7</v>
      </c>
      <c r="D46" s="14" t="s">
        <v>13</v>
      </c>
      <c r="E46" s="16">
        <v>4529.41</v>
      </c>
      <c r="F46" s="16">
        <f t="shared" si="0"/>
        <v>31705.87</v>
      </c>
      <c r="G46" s="16">
        <f t="shared" si="1"/>
        <v>6024.1152999999995</v>
      </c>
      <c r="H46" s="16">
        <f t="shared" si="2"/>
        <v>37729.9853</v>
      </c>
      <c r="I46" s="14" t="s">
        <v>61</v>
      </c>
      <c r="J46" s="14" t="s">
        <v>15</v>
      </c>
      <c r="K46" s="17" t="s">
        <v>62</v>
      </c>
      <c r="L46" s="17" t="s">
        <v>63</v>
      </c>
    </row>
    <row r="47" spans="1:12" ht="15" customHeight="1" x14ac:dyDescent="0.25">
      <c r="A47" s="13">
        <v>46054</v>
      </c>
      <c r="B47" s="14" t="s">
        <v>67</v>
      </c>
      <c r="C47" s="15">
        <v>15</v>
      </c>
      <c r="D47" s="14" t="s">
        <v>13</v>
      </c>
      <c r="E47" s="16">
        <v>3836.13</v>
      </c>
      <c r="F47" s="16">
        <f t="shared" si="0"/>
        <v>57541.950000000004</v>
      </c>
      <c r="G47" s="16">
        <f t="shared" si="1"/>
        <v>10932.970500000001</v>
      </c>
      <c r="H47" s="16">
        <f t="shared" si="2"/>
        <v>68474.920500000007</v>
      </c>
      <c r="I47" s="14" t="s">
        <v>61</v>
      </c>
      <c r="J47" s="14" t="s">
        <v>15</v>
      </c>
      <c r="K47" s="17" t="s">
        <v>62</v>
      </c>
      <c r="L47" s="17" t="s">
        <v>63</v>
      </c>
    </row>
    <row r="48" spans="1:12" ht="15" customHeight="1" x14ac:dyDescent="0.25">
      <c r="A48" s="13">
        <v>46054</v>
      </c>
      <c r="B48" s="14" t="s">
        <v>68</v>
      </c>
      <c r="C48" s="15">
        <v>11</v>
      </c>
      <c r="D48" s="14" t="s">
        <v>13</v>
      </c>
      <c r="E48" s="16">
        <v>2897.89</v>
      </c>
      <c r="F48" s="16">
        <f t="shared" si="0"/>
        <v>31876.789999999997</v>
      </c>
      <c r="G48" s="16">
        <f t="shared" si="1"/>
        <v>6056.5900999999994</v>
      </c>
      <c r="H48" s="16">
        <f t="shared" si="2"/>
        <v>37933.380099999995</v>
      </c>
      <c r="I48" s="14" t="s">
        <v>61</v>
      </c>
      <c r="J48" s="14" t="s">
        <v>15</v>
      </c>
      <c r="K48" s="17" t="s">
        <v>62</v>
      </c>
      <c r="L48" s="17" t="s">
        <v>63</v>
      </c>
    </row>
    <row r="49" spans="1:12" ht="15" customHeight="1" x14ac:dyDescent="0.25">
      <c r="A49" s="13">
        <v>46054</v>
      </c>
      <c r="B49" s="14" t="s">
        <v>69</v>
      </c>
      <c r="C49" s="15">
        <v>2000</v>
      </c>
      <c r="D49" s="14" t="s">
        <v>13</v>
      </c>
      <c r="E49" s="16">
        <v>155.29</v>
      </c>
      <c r="F49" s="16">
        <f t="shared" si="0"/>
        <v>310580</v>
      </c>
      <c r="G49" s="16">
        <f t="shared" si="1"/>
        <v>59010.2</v>
      </c>
      <c r="H49" s="16">
        <f t="shared" si="2"/>
        <v>369590.2</v>
      </c>
      <c r="I49" s="14" t="s">
        <v>61</v>
      </c>
      <c r="J49" s="14" t="s">
        <v>15</v>
      </c>
      <c r="K49" s="17" t="s">
        <v>62</v>
      </c>
      <c r="L49" s="17" t="s">
        <v>63</v>
      </c>
    </row>
    <row r="50" spans="1:12" ht="15" customHeight="1" x14ac:dyDescent="0.25">
      <c r="A50" s="13">
        <v>46054</v>
      </c>
      <c r="B50" s="14" t="s">
        <v>70</v>
      </c>
      <c r="C50" s="15">
        <v>2000</v>
      </c>
      <c r="D50" s="14" t="s">
        <v>13</v>
      </c>
      <c r="E50" s="16">
        <v>155.29</v>
      </c>
      <c r="F50" s="16">
        <f t="shared" si="0"/>
        <v>310580</v>
      </c>
      <c r="G50" s="16">
        <f t="shared" si="1"/>
        <v>59010.2</v>
      </c>
      <c r="H50" s="16">
        <f t="shared" si="2"/>
        <v>369590.2</v>
      </c>
      <c r="I50" s="14" t="s">
        <v>61</v>
      </c>
      <c r="J50" s="14" t="s">
        <v>15</v>
      </c>
      <c r="K50" s="17" t="s">
        <v>62</v>
      </c>
      <c r="L50" s="17" t="s">
        <v>63</v>
      </c>
    </row>
    <row r="51" spans="1:12" ht="15" customHeight="1" x14ac:dyDescent="0.25">
      <c r="A51" s="13">
        <v>46054</v>
      </c>
      <c r="B51" s="14" t="s">
        <v>71</v>
      </c>
      <c r="C51" s="15">
        <v>2000</v>
      </c>
      <c r="D51" s="14" t="s">
        <v>13</v>
      </c>
      <c r="E51" s="16">
        <v>103.52</v>
      </c>
      <c r="F51" s="16">
        <f t="shared" si="0"/>
        <v>207040</v>
      </c>
      <c r="G51" s="16">
        <f t="shared" si="1"/>
        <v>39337.599999999999</v>
      </c>
      <c r="H51" s="16">
        <f t="shared" si="2"/>
        <v>246377.60000000001</v>
      </c>
      <c r="I51" s="14" t="s">
        <v>61</v>
      </c>
      <c r="J51" s="14" t="s">
        <v>15</v>
      </c>
      <c r="K51" s="17" t="s">
        <v>62</v>
      </c>
      <c r="L51" s="17" t="s">
        <v>63</v>
      </c>
    </row>
    <row r="52" spans="1:12" ht="15" customHeight="1" x14ac:dyDescent="0.25">
      <c r="A52" s="13">
        <v>46054</v>
      </c>
      <c r="B52" s="14" t="s">
        <v>72</v>
      </c>
      <c r="C52" s="15">
        <v>1000</v>
      </c>
      <c r="D52" s="14" t="s">
        <v>13</v>
      </c>
      <c r="E52" s="16">
        <v>103.52</v>
      </c>
      <c r="F52" s="16">
        <f t="shared" si="0"/>
        <v>103520</v>
      </c>
      <c r="G52" s="16">
        <f t="shared" si="1"/>
        <v>19668.8</v>
      </c>
      <c r="H52" s="16">
        <f t="shared" si="2"/>
        <v>123188.8</v>
      </c>
      <c r="I52" s="14" t="s">
        <v>61</v>
      </c>
      <c r="J52" s="14" t="s">
        <v>15</v>
      </c>
      <c r="K52" s="17" t="s">
        <v>62</v>
      </c>
      <c r="L52" s="17" t="s">
        <v>63</v>
      </c>
    </row>
    <row r="53" spans="1:12" ht="15" customHeight="1" x14ac:dyDescent="0.25">
      <c r="A53" s="13">
        <v>46054</v>
      </c>
      <c r="B53" s="14" t="s">
        <v>73</v>
      </c>
      <c r="C53" s="15">
        <v>250</v>
      </c>
      <c r="D53" s="14" t="s">
        <v>13</v>
      </c>
      <c r="E53" s="16">
        <v>162.97999999999999</v>
      </c>
      <c r="F53" s="16">
        <f t="shared" si="0"/>
        <v>40745</v>
      </c>
      <c r="G53" s="16">
        <f t="shared" si="1"/>
        <v>7741.55</v>
      </c>
      <c r="H53" s="16">
        <f t="shared" si="2"/>
        <v>48486.55</v>
      </c>
      <c r="I53" s="14" t="s">
        <v>61</v>
      </c>
      <c r="J53" s="14" t="s">
        <v>15</v>
      </c>
      <c r="K53" s="17" t="s">
        <v>62</v>
      </c>
      <c r="L53" s="17" t="s">
        <v>63</v>
      </c>
    </row>
    <row r="54" spans="1:12" ht="15" customHeight="1" x14ac:dyDescent="0.25">
      <c r="A54" s="13">
        <v>46054</v>
      </c>
      <c r="B54" s="14" t="s">
        <v>74</v>
      </c>
      <c r="C54" s="15">
        <v>100</v>
      </c>
      <c r="D54" s="14" t="s">
        <v>13</v>
      </c>
      <c r="E54" s="16">
        <v>25.16</v>
      </c>
      <c r="F54" s="16">
        <f t="shared" si="0"/>
        <v>2516</v>
      </c>
      <c r="G54" s="16">
        <f t="shared" si="1"/>
        <v>478.04</v>
      </c>
      <c r="H54" s="16">
        <f t="shared" si="2"/>
        <v>2994.04</v>
      </c>
      <c r="I54" s="14" t="s">
        <v>61</v>
      </c>
      <c r="J54" s="14" t="s">
        <v>15</v>
      </c>
      <c r="K54" s="17" t="s">
        <v>62</v>
      </c>
      <c r="L54" s="17" t="s">
        <v>63</v>
      </c>
    </row>
    <row r="55" spans="1:12" ht="15" customHeight="1" x14ac:dyDescent="0.25">
      <c r="A55" s="13">
        <v>46054</v>
      </c>
      <c r="B55" s="14" t="s">
        <v>75</v>
      </c>
      <c r="C55" s="15">
        <v>50</v>
      </c>
      <c r="D55" s="14" t="s">
        <v>13</v>
      </c>
      <c r="E55" s="16">
        <v>22.49</v>
      </c>
      <c r="F55" s="16">
        <f t="shared" si="0"/>
        <v>1124.5</v>
      </c>
      <c r="G55" s="16">
        <f t="shared" si="1"/>
        <v>213.655</v>
      </c>
      <c r="H55" s="16">
        <f t="shared" si="2"/>
        <v>1338.155</v>
      </c>
      <c r="I55" s="14" t="s">
        <v>61</v>
      </c>
      <c r="J55" s="14" t="s">
        <v>15</v>
      </c>
      <c r="K55" s="17" t="s">
        <v>62</v>
      </c>
      <c r="L55" s="17" t="s">
        <v>63</v>
      </c>
    </row>
    <row r="56" spans="1:12" ht="15" customHeight="1" x14ac:dyDescent="0.25">
      <c r="A56" s="13">
        <v>46054</v>
      </c>
      <c r="B56" s="14" t="s">
        <v>76</v>
      </c>
      <c r="C56" s="15">
        <v>16</v>
      </c>
      <c r="D56" s="14" t="s">
        <v>13</v>
      </c>
      <c r="E56" s="16">
        <v>379.34</v>
      </c>
      <c r="F56" s="16">
        <f t="shared" si="0"/>
        <v>6069.44</v>
      </c>
      <c r="G56" s="16">
        <f t="shared" si="1"/>
        <v>1153.1935999999998</v>
      </c>
      <c r="H56" s="16">
        <f t="shared" si="2"/>
        <v>7222.6335999999992</v>
      </c>
      <c r="I56" s="14" t="s">
        <v>61</v>
      </c>
      <c r="J56" s="14" t="s">
        <v>15</v>
      </c>
      <c r="K56" s="17" t="s">
        <v>62</v>
      </c>
      <c r="L56" s="17" t="s">
        <v>63</v>
      </c>
    </row>
    <row r="57" spans="1:12" ht="15" customHeight="1" x14ac:dyDescent="0.25">
      <c r="A57" s="13">
        <v>46054</v>
      </c>
      <c r="B57" s="14" t="s">
        <v>77</v>
      </c>
      <c r="C57" s="15">
        <v>300</v>
      </c>
      <c r="D57" s="14" t="s">
        <v>13</v>
      </c>
      <c r="E57" s="16">
        <v>54.62</v>
      </c>
      <c r="F57" s="16">
        <f t="shared" si="0"/>
        <v>16386</v>
      </c>
      <c r="G57" s="16">
        <f t="shared" si="1"/>
        <v>3113.34</v>
      </c>
      <c r="H57" s="16">
        <f t="shared" si="2"/>
        <v>19499.34</v>
      </c>
      <c r="I57" s="14" t="s">
        <v>61</v>
      </c>
      <c r="J57" s="14" t="s">
        <v>15</v>
      </c>
      <c r="K57" s="17" t="s">
        <v>62</v>
      </c>
      <c r="L57" s="17" t="s">
        <v>63</v>
      </c>
    </row>
    <row r="58" spans="1:12" ht="15" customHeight="1" x14ac:dyDescent="0.25">
      <c r="A58" s="13">
        <v>46054</v>
      </c>
      <c r="B58" s="14" t="s">
        <v>78</v>
      </c>
      <c r="C58" s="15">
        <v>300</v>
      </c>
      <c r="D58" s="14" t="s">
        <v>13</v>
      </c>
      <c r="E58" s="16">
        <v>2.77</v>
      </c>
      <c r="F58" s="16">
        <f t="shared" si="0"/>
        <v>831</v>
      </c>
      <c r="G58" s="16">
        <f t="shared" si="1"/>
        <v>157.89000000000001</v>
      </c>
      <c r="H58" s="16">
        <f t="shared" si="2"/>
        <v>988.89</v>
      </c>
      <c r="I58" s="14" t="s">
        <v>61</v>
      </c>
      <c r="J58" s="14" t="s">
        <v>15</v>
      </c>
      <c r="K58" s="17" t="s">
        <v>62</v>
      </c>
      <c r="L58" s="17" t="s">
        <v>63</v>
      </c>
    </row>
    <row r="59" spans="1:12" ht="15" customHeight="1" x14ac:dyDescent="0.25">
      <c r="A59" s="13">
        <v>46054</v>
      </c>
      <c r="B59" s="14" t="s">
        <v>79</v>
      </c>
      <c r="C59" s="15">
        <v>275</v>
      </c>
      <c r="D59" s="14" t="s">
        <v>13</v>
      </c>
      <c r="E59" s="16">
        <v>1247.8900000000001</v>
      </c>
      <c r="F59" s="16">
        <f t="shared" si="0"/>
        <v>343169.75</v>
      </c>
      <c r="G59" s="16">
        <f t="shared" si="1"/>
        <v>65202.252500000002</v>
      </c>
      <c r="H59" s="16">
        <f t="shared" si="2"/>
        <v>408372.0025</v>
      </c>
      <c r="I59" s="14" t="s">
        <v>61</v>
      </c>
      <c r="J59" s="14" t="s">
        <v>15</v>
      </c>
      <c r="K59" s="17" t="s">
        <v>62</v>
      </c>
      <c r="L59" s="17" t="s">
        <v>63</v>
      </c>
    </row>
    <row r="60" spans="1:12" ht="15" customHeight="1" x14ac:dyDescent="0.25">
      <c r="A60" s="13">
        <v>46054</v>
      </c>
      <c r="B60" s="14" t="s">
        <v>80</v>
      </c>
      <c r="C60" s="15">
        <v>20</v>
      </c>
      <c r="D60" s="14" t="s">
        <v>13</v>
      </c>
      <c r="E60" s="16">
        <v>334.85</v>
      </c>
      <c r="F60" s="16">
        <f t="shared" si="0"/>
        <v>6697</v>
      </c>
      <c r="G60" s="16">
        <f t="shared" si="1"/>
        <v>1272.43</v>
      </c>
      <c r="H60" s="16">
        <f t="shared" si="2"/>
        <v>7969.43</v>
      </c>
      <c r="I60" s="14" t="s">
        <v>61</v>
      </c>
      <c r="J60" s="14" t="s">
        <v>15</v>
      </c>
      <c r="K60" s="17" t="s">
        <v>62</v>
      </c>
      <c r="L60" s="17" t="s">
        <v>63</v>
      </c>
    </row>
    <row r="61" spans="1:12" ht="15" customHeight="1" x14ac:dyDescent="0.25">
      <c r="A61" s="13">
        <v>46054</v>
      </c>
      <c r="B61" s="14" t="s">
        <v>81</v>
      </c>
      <c r="C61" s="15">
        <v>16</v>
      </c>
      <c r="D61" s="14" t="s">
        <v>13</v>
      </c>
      <c r="E61" s="16">
        <v>1525.21</v>
      </c>
      <c r="F61" s="16">
        <f t="shared" si="0"/>
        <v>24403.360000000001</v>
      </c>
      <c r="G61" s="16">
        <f t="shared" si="1"/>
        <v>4636.6383999999998</v>
      </c>
      <c r="H61" s="16">
        <f t="shared" si="2"/>
        <v>29039.9984</v>
      </c>
      <c r="I61" s="14" t="s">
        <v>61</v>
      </c>
      <c r="J61" s="14" t="s">
        <v>15</v>
      </c>
      <c r="K61" s="17" t="s">
        <v>62</v>
      </c>
      <c r="L61" s="17" t="s">
        <v>63</v>
      </c>
    </row>
    <row r="62" spans="1:12" ht="15" customHeight="1" x14ac:dyDescent="0.25">
      <c r="A62" s="13">
        <v>46054</v>
      </c>
      <c r="B62" s="14" t="s">
        <v>82</v>
      </c>
      <c r="C62" s="15">
        <v>1</v>
      </c>
      <c r="D62" s="14" t="s">
        <v>13</v>
      </c>
      <c r="E62" s="16">
        <v>915.12</v>
      </c>
      <c r="F62" s="16">
        <f t="shared" si="0"/>
        <v>915.12</v>
      </c>
      <c r="G62" s="16">
        <f t="shared" si="1"/>
        <v>173.87280000000001</v>
      </c>
      <c r="H62" s="16">
        <f t="shared" si="2"/>
        <v>1088.9928</v>
      </c>
      <c r="I62" s="14" t="s">
        <v>61</v>
      </c>
      <c r="J62" s="14" t="s">
        <v>15</v>
      </c>
      <c r="K62" s="17" t="s">
        <v>62</v>
      </c>
      <c r="L62" s="17" t="s">
        <v>63</v>
      </c>
    </row>
    <row r="63" spans="1:12" ht="15" customHeight="1" x14ac:dyDescent="0.25">
      <c r="A63" s="13">
        <v>46054</v>
      </c>
      <c r="B63" s="14" t="s">
        <v>83</v>
      </c>
      <c r="C63" s="15">
        <v>47</v>
      </c>
      <c r="D63" s="14" t="s">
        <v>13</v>
      </c>
      <c r="E63" s="16">
        <v>115.54</v>
      </c>
      <c r="F63" s="16">
        <f t="shared" si="0"/>
        <v>5430.38</v>
      </c>
      <c r="G63" s="16">
        <f t="shared" si="1"/>
        <v>1031.7722000000001</v>
      </c>
      <c r="H63" s="16">
        <f t="shared" si="2"/>
        <v>6462.1522000000004</v>
      </c>
      <c r="I63" s="14" t="s">
        <v>61</v>
      </c>
      <c r="J63" s="14" t="s">
        <v>15</v>
      </c>
      <c r="K63" s="17" t="s">
        <v>62</v>
      </c>
      <c r="L63" s="17" t="s">
        <v>63</v>
      </c>
    </row>
    <row r="64" spans="1:12" ht="15" customHeight="1" x14ac:dyDescent="0.25">
      <c r="A64" s="13">
        <v>46054</v>
      </c>
      <c r="B64" s="14" t="s">
        <v>84</v>
      </c>
      <c r="C64" s="15">
        <v>50</v>
      </c>
      <c r="D64" s="14" t="s">
        <v>13</v>
      </c>
      <c r="E64" s="16">
        <v>84.03</v>
      </c>
      <c r="F64" s="16">
        <f t="shared" si="0"/>
        <v>4201.5</v>
      </c>
      <c r="G64" s="16">
        <f t="shared" si="1"/>
        <v>798.28499999999997</v>
      </c>
      <c r="H64" s="16">
        <f t="shared" si="2"/>
        <v>4999.7849999999999</v>
      </c>
      <c r="I64" s="14" t="s">
        <v>61</v>
      </c>
      <c r="J64" s="14" t="s">
        <v>15</v>
      </c>
      <c r="K64" s="17" t="s">
        <v>62</v>
      </c>
      <c r="L64" s="17" t="s">
        <v>63</v>
      </c>
    </row>
    <row r="65" spans="1:12" ht="15" customHeight="1" x14ac:dyDescent="0.25">
      <c r="A65" s="13">
        <v>46054</v>
      </c>
      <c r="B65" s="14" t="s">
        <v>85</v>
      </c>
      <c r="C65" s="15">
        <v>25</v>
      </c>
      <c r="D65" s="14" t="s">
        <v>13</v>
      </c>
      <c r="E65" s="16">
        <v>127.56</v>
      </c>
      <c r="F65" s="16">
        <f t="shared" si="0"/>
        <v>3189</v>
      </c>
      <c r="G65" s="16">
        <f t="shared" si="1"/>
        <v>605.91</v>
      </c>
      <c r="H65" s="16">
        <f t="shared" si="2"/>
        <v>3794.91</v>
      </c>
      <c r="I65" s="14" t="s">
        <v>61</v>
      </c>
      <c r="J65" s="14" t="s">
        <v>15</v>
      </c>
      <c r="K65" s="17" t="s">
        <v>62</v>
      </c>
      <c r="L65" s="17" t="s">
        <v>63</v>
      </c>
    </row>
    <row r="66" spans="1:12" ht="15" customHeight="1" x14ac:dyDescent="0.25">
      <c r="A66" s="13">
        <v>46054</v>
      </c>
      <c r="B66" s="14" t="s">
        <v>86</v>
      </c>
      <c r="C66" s="15">
        <v>15</v>
      </c>
      <c r="D66" s="14" t="s">
        <v>13</v>
      </c>
      <c r="E66" s="16">
        <v>1247.8900000000001</v>
      </c>
      <c r="F66" s="16">
        <f t="shared" ref="F66:F129" si="3">C66*E66</f>
        <v>18718.350000000002</v>
      </c>
      <c r="G66" s="16">
        <f t="shared" ref="G66:G129" si="4">F66*0.19</f>
        <v>3556.4865000000004</v>
      </c>
      <c r="H66" s="16">
        <f t="shared" ref="H66:H129" si="5">F66+G66</f>
        <v>22274.836500000001</v>
      </c>
      <c r="I66" s="14" t="s">
        <v>61</v>
      </c>
      <c r="J66" s="14" t="s">
        <v>15</v>
      </c>
      <c r="K66" s="17" t="s">
        <v>62</v>
      </c>
      <c r="L66" s="17" t="s">
        <v>63</v>
      </c>
    </row>
    <row r="67" spans="1:12" ht="15" customHeight="1" x14ac:dyDescent="0.25">
      <c r="A67" s="13">
        <v>46054</v>
      </c>
      <c r="B67" s="14" t="s">
        <v>87</v>
      </c>
      <c r="C67" s="15">
        <v>100</v>
      </c>
      <c r="D67" s="14" t="s">
        <v>13</v>
      </c>
      <c r="E67" s="16">
        <v>660.93</v>
      </c>
      <c r="F67" s="16">
        <f t="shared" si="3"/>
        <v>66093</v>
      </c>
      <c r="G67" s="16">
        <f t="shared" si="4"/>
        <v>12557.67</v>
      </c>
      <c r="H67" s="16">
        <f t="shared" si="5"/>
        <v>78650.67</v>
      </c>
      <c r="I67" s="14" t="s">
        <v>61</v>
      </c>
      <c r="J67" s="14" t="s">
        <v>15</v>
      </c>
      <c r="K67" s="17" t="s">
        <v>62</v>
      </c>
      <c r="L67" s="17" t="s">
        <v>63</v>
      </c>
    </row>
    <row r="68" spans="1:12" ht="15" customHeight="1" x14ac:dyDescent="0.25">
      <c r="A68" s="13">
        <v>46054</v>
      </c>
      <c r="B68" s="14" t="s">
        <v>88</v>
      </c>
      <c r="C68" s="15">
        <v>10</v>
      </c>
      <c r="D68" s="14" t="s">
        <v>13</v>
      </c>
      <c r="E68" s="16">
        <v>1195.2</v>
      </c>
      <c r="F68" s="16">
        <f t="shared" si="3"/>
        <v>11952</v>
      </c>
      <c r="G68" s="16">
        <f t="shared" si="4"/>
        <v>2270.88</v>
      </c>
      <c r="H68" s="16">
        <f t="shared" si="5"/>
        <v>14222.880000000001</v>
      </c>
      <c r="I68" s="14" t="s">
        <v>61</v>
      </c>
      <c r="J68" s="14" t="s">
        <v>15</v>
      </c>
      <c r="K68" s="17" t="s">
        <v>62</v>
      </c>
      <c r="L68" s="17" t="s">
        <v>63</v>
      </c>
    </row>
    <row r="69" spans="1:12" ht="15" customHeight="1" x14ac:dyDescent="0.25">
      <c r="A69" s="13">
        <v>46054</v>
      </c>
      <c r="B69" s="14" t="s">
        <v>89</v>
      </c>
      <c r="C69" s="15">
        <v>15</v>
      </c>
      <c r="D69" s="14" t="s">
        <v>13</v>
      </c>
      <c r="E69" s="16">
        <v>58.82</v>
      </c>
      <c r="F69" s="16">
        <f t="shared" si="3"/>
        <v>882.3</v>
      </c>
      <c r="G69" s="16">
        <f t="shared" si="4"/>
        <v>167.637</v>
      </c>
      <c r="H69" s="16">
        <f t="shared" si="5"/>
        <v>1049.9369999999999</v>
      </c>
      <c r="I69" s="14" t="s">
        <v>61</v>
      </c>
      <c r="J69" s="14" t="s">
        <v>15</v>
      </c>
      <c r="K69" s="17" t="s">
        <v>62</v>
      </c>
      <c r="L69" s="17" t="s">
        <v>63</v>
      </c>
    </row>
    <row r="70" spans="1:12" ht="15" customHeight="1" x14ac:dyDescent="0.25">
      <c r="A70" s="13">
        <v>46054</v>
      </c>
      <c r="B70" s="14" t="s">
        <v>90</v>
      </c>
      <c r="C70" s="15">
        <v>42</v>
      </c>
      <c r="D70" s="14" t="s">
        <v>13</v>
      </c>
      <c r="E70" s="16">
        <v>58.82</v>
      </c>
      <c r="F70" s="16">
        <f t="shared" si="3"/>
        <v>2470.44</v>
      </c>
      <c r="G70" s="16">
        <f t="shared" si="4"/>
        <v>469.3836</v>
      </c>
      <c r="H70" s="16">
        <f t="shared" si="5"/>
        <v>2939.8236000000002</v>
      </c>
      <c r="I70" s="14" t="s">
        <v>61</v>
      </c>
      <c r="J70" s="14" t="s">
        <v>15</v>
      </c>
      <c r="K70" s="17" t="s">
        <v>62</v>
      </c>
      <c r="L70" s="17" t="s">
        <v>63</v>
      </c>
    </row>
    <row r="71" spans="1:12" ht="15" customHeight="1" x14ac:dyDescent="0.25">
      <c r="A71" s="13">
        <v>46054</v>
      </c>
      <c r="B71" s="14" t="s">
        <v>91</v>
      </c>
      <c r="C71" s="15">
        <v>20</v>
      </c>
      <c r="D71" s="14" t="s">
        <v>13</v>
      </c>
      <c r="E71" s="16">
        <v>138.65</v>
      </c>
      <c r="F71" s="16">
        <f t="shared" si="3"/>
        <v>2773</v>
      </c>
      <c r="G71" s="16">
        <f t="shared" si="4"/>
        <v>526.87</v>
      </c>
      <c r="H71" s="16">
        <f t="shared" si="5"/>
        <v>3299.87</v>
      </c>
      <c r="I71" s="14" t="s">
        <v>61</v>
      </c>
      <c r="J71" s="14" t="s">
        <v>15</v>
      </c>
      <c r="K71" s="17" t="s">
        <v>62</v>
      </c>
      <c r="L71" s="17" t="s">
        <v>63</v>
      </c>
    </row>
    <row r="72" spans="1:12" ht="15" customHeight="1" x14ac:dyDescent="0.25">
      <c r="A72" s="13">
        <v>46054</v>
      </c>
      <c r="B72" s="14" t="s">
        <v>92</v>
      </c>
      <c r="C72" s="15">
        <v>15</v>
      </c>
      <c r="D72" s="14" t="s">
        <v>13</v>
      </c>
      <c r="E72" s="16">
        <v>2218.48</v>
      </c>
      <c r="F72" s="16">
        <f t="shared" si="3"/>
        <v>33277.199999999997</v>
      </c>
      <c r="G72" s="16">
        <f t="shared" si="4"/>
        <v>6322.6679999999997</v>
      </c>
      <c r="H72" s="16">
        <f t="shared" si="5"/>
        <v>39599.867999999995</v>
      </c>
      <c r="I72" s="14" t="s">
        <v>61</v>
      </c>
      <c r="J72" s="14" t="s">
        <v>15</v>
      </c>
      <c r="K72" s="17" t="s">
        <v>62</v>
      </c>
      <c r="L72" s="17" t="s">
        <v>63</v>
      </c>
    </row>
    <row r="73" spans="1:12" ht="15" customHeight="1" x14ac:dyDescent="0.25">
      <c r="A73" s="13">
        <v>46054</v>
      </c>
      <c r="B73" s="14" t="s">
        <v>93</v>
      </c>
      <c r="C73" s="15">
        <v>2000</v>
      </c>
      <c r="D73" s="14" t="s">
        <v>13</v>
      </c>
      <c r="E73" s="16">
        <v>11.092000000000001</v>
      </c>
      <c r="F73" s="16">
        <f t="shared" si="3"/>
        <v>22184</v>
      </c>
      <c r="G73" s="16">
        <f t="shared" si="4"/>
        <v>4214.96</v>
      </c>
      <c r="H73" s="16">
        <f t="shared" si="5"/>
        <v>26398.959999999999</v>
      </c>
      <c r="I73" s="14" t="s">
        <v>61</v>
      </c>
      <c r="J73" s="14" t="s">
        <v>15</v>
      </c>
      <c r="K73" s="17" t="s">
        <v>62</v>
      </c>
      <c r="L73" s="17" t="s">
        <v>63</v>
      </c>
    </row>
    <row r="74" spans="1:12" ht="15" customHeight="1" x14ac:dyDescent="0.25">
      <c r="A74" s="13">
        <v>46054</v>
      </c>
      <c r="B74" s="14" t="s">
        <v>94</v>
      </c>
      <c r="C74" s="15">
        <v>1000</v>
      </c>
      <c r="D74" s="14" t="s">
        <v>13</v>
      </c>
      <c r="E74" s="16">
        <v>23.1</v>
      </c>
      <c r="F74" s="16">
        <f t="shared" si="3"/>
        <v>23100</v>
      </c>
      <c r="G74" s="16">
        <f t="shared" si="4"/>
        <v>4389</v>
      </c>
      <c r="H74" s="16">
        <f t="shared" si="5"/>
        <v>27489</v>
      </c>
      <c r="I74" s="14" t="s">
        <v>61</v>
      </c>
      <c r="J74" s="14" t="s">
        <v>15</v>
      </c>
      <c r="K74" s="17" t="s">
        <v>62</v>
      </c>
      <c r="L74" s="17" t="s">
        <v>63</v>
      </c>
    </row>
    <row r="75" spans="1:12" ht="15" customHeight="1" x14ac:dyDescent="0.25">
      <c r="A75" s="13">
        <v>46054</v>
      </c>
      <c r="B75" s="14" t="s">
        <v>95</v>
      </c>
      <c r="C75" s="15">
        <v>2</v>
      </c>
      <c r="D75" s="14" t="s">
        <v>13</v>
      </c>
      <c r="E75" s="16">
        <v>1719.32</v>
      </c>
      <c r="F75" s="16">
        <f t="shared" si="3"/>
        <v>3438.64</v>
      </c>
      <c r="G75" s="16">
        <f t="shared" si="4"/>
        <v>653.34159999999997</v>
      </c>
      <c r="H75" s="16">
        <f t="shared" si="5"/>
        <v>4091.9816000000001</v>
      </c>
      <c r="I75" s="14" t="s">
        <v>61</v>
      </c>
      <c r="J75" s="14" t="s">
        <v>15</v>
      </c>
      <c r="K75" s="17" t="s">
        <v>62</v>
      </c>
      <c r="L75" s="17" t="s">
        <v>63</v>
      </c>
    </row>
    <row r="76" spans="1:12" ht="15" customHeight="1" x14ac:dyDescent="0.25">
      <c r="A76" s="13">
        <v>46054</v>
      </c>
      <c r="B76" s="14" t="s">
        <v>96</v>
      </c>
      <c r="C76" s="15">
        <v>2</v>
      </c>
      <c r="D76" s="14" t="s">
        <v>13</v>
      </c>
      <c r="E76" s="16">
        <v>116.93</v>
      </c>
      <c r="F76" s="16">
        <f t="shared" si="3"/>
        <v>233.86</v>
      </c>
      <c r="G76" s="16">
        <f t="shared" si="4"/>
        <v>44.433400000000006</v>
      </c>
      <c r="H76" s="16">
        <f t="shared" si="5"/>
        <v>278.29340000000002</v>
      </c>
      <c r="I76" s="14" t="s">
        <v>61</v>
      </c>
      <c r="J76" s="14" t="s">
        <v>15</v>
      </c>
      <c r="K76" s="17" t="s">
        <v>62</v>
      </c>
      <c r="L76" s="17" t="s">
        <v>63</v>
      </c>
    </row>
    <row r="77" spans="1:12" ht="15" customHeight="1" x14ac:dyDescent="0.25">
      <c r="A77" s="13">
        <v>46054</v>
      </c>
      <c r="B77" s="14" t="s">
        <v>97</v>
      </c>
      <c r="C77" s="15">
        <v>5</v>
      </c>
      <c r="D77" s="14" t="s">
        <v>13</v>
      </c>
      <c r="E77" s="16">
        <v>2218.48</v>
      </c>
      <c r="F77" s="16">
        <f t="shared" si="3"/>
        <v>11092.4</v>
      </c>
      <c r="G77" s="16">
        <f t="shared" si="4"/>
        <v>2107.556</v>
      </c>
      <c r="H77" s="16">
        <f t="shared" si="5"/>
        <v>13199.956</v>
      </c>
      <c r="I77" s="14" t="s">
        <v>61</v>
      </c>
      <c r="J77" s="14" t="s">
        <v>15</v>
      </c>
      <c r="K77" s="17" t="s">
        <v>62</v>
      </c>
      <c r="L77" s="17" t="s">
        <v>63</v>
      </c>
    </row>
    <row r="78" spans="1:12" ht="15" customHeight="1" x14ac:dyDescent="0.25">
      <c r="A78" s="13">
        <v>46054</v>
      </c>
      <c r="B78" s="14" t="s">
        <v>98</v>
      </c>
      <c r="C78" s="15">
        <v>8</v>
      </c>
      <c r="D78" s="14" t="s">
        <v>13</v>
      </c>
      <c r="E78" s="16">
        <v>554.62</v>
      </c>
      <c r="F78" s="16">
        <f t="shared" si="3"/>
        <v>4436.96</v>
      </c>
      <c r="G78" s="16">
        <f t="shared" si="4"/>
        <v>843.02240000000006</v>
      </c>
      <c r="H78" s="16">
        <f t="shared" si="5"/>
        <v>5279.9823999999999</v>
      </c>
      <c r="I78" s="14" t="s">
        <v>61</v>
      </c>
      <c r="J78" s="14" t="s">
        <v>15</v>
      </c>
      <c r="K78" s="17" t="s">
        <v>62</v>
      </c>
      <c r="L78" s="17" t="s">
        <v>63</v>
      </c>
    </row>
    <row r="79" spans="1:12" ht="15" customHeight="1" x14ac:dyDescent="0.25">
      <c r="A79" s="13">
        <v>46041</v>
      </c>
      <c r="B79" s="14" t="s">
        <v>99</v>
      </c>
      <c r="C79" s="15">
        <v>20</v>
      </c>
      <c r="D79" s="14" t="s">
        <v>100</v>
      </c>
      <c r="E79" s="16">
        <v>4201.68</v>
      </c>
      <c r="F79" s="16">
        <f t="shared" si="3"/>
        <v>84033.600000000006</v>
      </c>
      <c r="G79" s="16">
        <f t="shared" si="4"/>
        <v>15966.384000000002</v>
      </c>
      <c r="H79" s="16">
        <f t="shared" si="5"/>
        <v>99999.984000000011</v>
      </c>
      <c r="I79" s="14" t="s">
        <v>101</v>
      </c>
      <c r="J79" s="14" t="s">
        <v>15</v>
      </c>
      <c r="K79" s="17" t="s">
        <v>102</v>
      </c>
      <c r="L79">
        <v>4065452</v>
      </c>
    </row>
    <row r="80" spans="1:12" ht="15" customHeight="1" x14ac:dyDescent="0.25">
      <c r="A80" s="13">
        <v>46041</v>
      </c>
      <c r="B80" s="14" t="s">
        <v>103</v>
      </c>
      <c r="C80" s="15">
        <v>10</v>
      </c>
      <c r="D80" s="14" t="s">
        <v>104</v>
      </c>
      <c r="E80" s="16">
        <v>159.66</v>
      </c>
      <c r="F80" s="16">
        <f t="shared" si="3"/>
        <v>1596.6</v>
      </c>
      <c r="G80" s="16">
        <f t="shared" si="4"/>
        <v>303.35399999999998</v>
      </c>
      <c r="H80" s="16">
        <f t="shared" si="5"/>
        <v>1899.954</v>
      </c>
      <c r="I80" s="14" t="s">
        <v>101</v>
      </c>
      <c r="J80" s="14" t="s">
        <v>15</v>
      </c>
      <c r="K80" s="17" t="s">
        <v>102</v>
      </c>
      <c r="L80">
        <v>4065452</v>
      </c>
    </row>
    <row r="81" spans="1:12" ht="15" customHeight="1" x14ac:dyDescent="0.25">
      <c r="A81" s="13">
        <v>46043</v>
      </c>
      <c r="B81" s="14" t="s">
        <v>105</v>
      </c>
      <c r="C81" s="15">
        <v>20</v>
      </c>
      <c r="D81" s="14" t="s">
        <v>13</v>
      </c>
      <c r="E81" s="16">
        <v>1325.22</v>
      </c>
      <c r="F81" s="16">
        <f t="shared" si="3"/>
        <v>26504.400000000001</v>
      </c>
      <c r="G81" s="16">
        <f t="shared" si="4"/>
        <v>5035.8360000000002</v>
      </c>
      <c r="H81" s="16">
        <f t="shared" si="5"/>
        <v>31540.236000000001</v>
      </c>
      <c r="I81" s="14" t="s">
        <v>106</v>
      </c>
      <c r="J81" s="14" t="s">
        <v>15</v>
      </c>
      <c r="K81" s="18" t="s">
        <v>107</v>
      </c>
      <c r="L81">
        <v>4065468</v>
      </c>
    </row>
    <row r="82" spans="1:12" ht="15" customHeight="1" x14ac:dyDescent="0.25">
      <c r="A82" s="13">
        <v>46043</v>
      </c>
      <c r="B82" s="14" t="s">
        <v>105</v>
      </c>
      <c r="C82" s="15">
        <v>10</v>
      </c>
      <c r="D82" s="14" t="s">
        <v>13</v>
      </c>
      <c r="E82" s="16">
        <v>1562.93</v>
      </c>
      <c r="F82" s="16">
        <f t="shared" si="3"/>
        <v>15629.300000000001</v>
      </c>
      <c r="G82" s="16">
        <f t="shared" si="4"/>
        <v>2969.5670000000005</v>
      </c>
      <c r="H82" s="16">
        <f t="shared" si="5"/>
        <v>18598.867000000002</v>
      </c>
      <c r="I82" s="14" t="s">
        <v>106</v>
      </c>
      <c r="J82" s="14" t="s">
        <v>15</v>
      </c>
      <c r="K82" s="18" t="s">
        <v>107</v>
      </c>
      <c r="L82">
        <v>4065468</v>
      </c>
    </row>
    <row r="83" spans="1:12" ht="15" customHeight="1" x14ac:dyDescent="0.25">
      <c r="A83" s="13">
        <v>46043</v>
      </c>
      <c r="B83" s="14" t="s">
        <v>105</v>
      </c>
      <c r="C83" s="15">
        <v>10</v>
      </c>
      <c r="D83" s="14" t="s">
        <v>13</v>
      </c>
      <c r="E83" s="16">
        <v>1877.16</v>
      </c>
      <c r="F83" s="16">
        <f t="shared" si="3"/>
        <v>18771.600000000002</v>
      </c>
      <c r="G83" s="16">
        <f t="shared" si="4"/>
        <v>3566.6040000000003</v>
      </c>
      <c r="H83" s="16">
        <f t="shared" si="5"/>
        <v>22338.204000000002</v>
      </c>
      <c r="I83" s="14" t="s">
        <v>106</v>
      </c>
      <c r="J83" s="14" t="s">
        <v>15</v>
      </c>
      <c r="K83" s="18" t="s">
        <v>107</v>
      </c>
      <c r="L83">
        <v>4065468</v>
      </c>
    </row>
    <row r="84" spans="1:12" ht="15" customHeight="1" x14ac:dyDescent="0.25">
      <c r="A84" s="13">
        <v>46043</v>
      </c>
      <c r="B84" s="14" t="s">
        <v>108</v>
      </c>
      <c r="C84" s="15">
        <v>10</v>
      </c>
      <c r="D84" s="14" t="s">
        <v>13</v>
      </c>
      <c r="E84" s="16">
        <v>1540.15</v>
      </c>
      <c r="F84" s="16">
        <f t="shared" si="3"/>
        <v>15401.5</v>
      </c>
      <c r="G84" s="16">
        <f t="shared" si="4"/>
        <v>2926.2849999999999</v>
      </c>
      <c r="H84" s="16">
        <f t="shared" si="5"/>
        <v>18327.785</v>
      </c>
      <c r="I84" s="14" t="s">
        <v>106</v>
      </c>
      <c r="J84" s="14" t="s">
        <v>15</v>
      </c>
      <c r="K84" s="18" t="s">
        <v>107</v>
      </c>
      <c r="L84">
        <v>4065468</v>
      </c>
    </row>
    <row r="85" spans="1:12" ht="15" customHeight="1" x14ac:dyDescent="0.25">
      <c r="A85" s="13">
        <v>46048</v>
      </c>
      <c r="B85" s="14" t="s">
        <v>109</v>
      </c>
      <c r="C85" s="15">
        <v>90</v>
      </c>
      <c r="D85" s="14" t="s">
        <v>13</v>
      </c>
      <c r="E85" s="16">
        <v>477.6</v>
      </c>
      <c r="F85" s="16">
        <f t="shared" si="3"/>
        <v>42984</v>
      </c>
      <c r="G85" s="16">
        <f t="shared" si="4"/>
        <v>8166.96</v>
      </c>
      <c r="H85" s="16">
        <f t="shared" si="5"/>
        <v>51150.96</v>
      </c>
      <c r="I85" s="14" t="s">
        <v>61</v>
      </c>
      <c r="J85" s="14" t="s">
        <v>15</v>
      </c>
      <c r="K85" s="17" t="s">
        <v>110</v>
      </c>
      <c r="L85" s="17" t="s">
        <v>63</v>
      </c>
    </row>
    <row r="86" spans="1:12" ht="15" customHeight="1" x14ac:dyDescent="0.25">
      <c r="A86" s="13">
        <v>46048</v>
      </c>
      <c r="B86" s="14" t="s">
        <v>111</v>
      </c>
      <c r="C86" s="15">
        <v>22</v>
      </c>
      <c r="D86" s="14" t="s">
        <v>13</v>
      </c>
      <c r="E86" s="16">
        <v>172.85</v>
      </c>
      <c r="F86" s="16">
        <f t="shared" si="3"/>
        <v>3802.7</v>
      </c>
      <c r="G86" s="16">
        <f t="shared" si="4"/>
        <v>722.51299999999992</v>
      </c>
      <c r="H86" s="16">
        <f t="shared" si="5"/>
        <v>4525.2129999999997</v>
      </c>
      <c r="I86" s="14" t="s">
        <v>61</v>
      </c>
      <c r="J86" s="14" t="s">
        <v>15</v>
      </c>
      <c r="K86" s="17" t="s">
        <v>110</v>
      </c>
      <c r="L86" s="17" t="s">
        <v>63</v>
      </c>
    </row>
    <row r="87" spans="1:12" ht="15" customHeight="1" x14ac:dyDescent="0.25">
      <c r="A87" s="13">
        <v>46048</v>
      </c>
      <c r="B87" s="14" t="s">
        <v>112</v>
      </c>
      <c r="C87" s="15">
        <v>120</v>
      </c>
      <c r="D87" s="14" t="s">
        <v>13</v>
      </c>
      <c r="E87" s="16">
        <v>162.68</v>
      </c>
      <c r="F87" s="16">
        <f t="shared" si="3"/>
        <v>19521.600000000002</v>
      </c>
      <c r="G87" s="16">
        <f t="shared" si="4"/>
        <v>3709.1040000000003</v>
      </c>
      <c r="H87" s="16">
        <f t="shared" si="5"/>
        <v>23230.704000000002</v>
      </c>
      <c r="I87" s="14" t="s">
        <v>61</v>
      </c>
      <c r="J87" s="14" t="s">
        <v>15</v>
      </c>
      <c r="K87" s="17" t="s">
        <v>110</v>
      </c>
      <c r="L87" s="17" t="s">
        <v>63</v>
      </c>
    </row>
    <row r="88" spans="1:12" ht="15" customHeight="1" x14ac:dyDescent="0.25">
      <c r="A88" s="13">
        <v>46048</v>
      </c>
      <c r="B88" s="14" t="s">
        <v>113</v>
      </c>
      <c r="C88" s="15">
        <v>12</v>
      </c>
      <c r="D88" s="14" t="s">
        <v>13</v>
      </c>
      <c r="E88" s="16">
        <v>121.09</v>
      </c>
      <c r="F88" s="16">
        <f t="shared" si="3"/>
        <v>1453.08</v>
      </c>
      <c r="G88" s="16">
        <f t="shared" si="4"/>
        <v>276.08519999999999</v>
      </c>
      <c r="H88" s="16">
        <f t="shared" si="5"/>
        <v>1729.1651999999999</v>
      </c>
      <c r="I88" s="14" t="s">
        <v>61</v>
      </c>
      <c r="J88" s="14" t="s">
        <v>15</v>
      </c>
      <c r="K88" s="17" t="s">
        <v>110</v>
      </c>
      <c r="L88" s="17" t="s">
        <v>63</v>
      </c>
    </row>
    <row r="89" spans="1:12" ht="15" customHeight="1" x14ac:dyDescent="0.25">
      <c r="A89" s="13">
        <v>46048</v>
      </c>
      <c r="B89" s="14" t="s">
        <v>114</v>
      </c>
      <c r="C89" s="15">
        <v>12</v>
      </c>
      <c r="D89" s="14" t="s">
        <v>13</v>
      </c>
      <c r="E89" s="16">
        <v>233.86</v>
      </c>
      <c r="F89" s="16">
        <f t="shared" si="3"/>
        <v>2806.32</v>
      </c>
      <c r="G89" s="16">
        <f t="shared" si="4"/>
        <v>533.20080000000007</v>
      </c>
      <c r="H89" s="16">
        <f t="shared" si="5"/>
        <v>3339.5208000000002</v>
      </c>
      <c r="I89" s="14" t="s">
        <v>61</v>
      </c>
      <c r="J89" s="14" t="s">
        <v>15</v>
      </c>
      <c r="K89" s="17" t="s">
        <v>110</v>
      </c>
      <c r="L89" s="17" t="s">
        <v>63</v>
      </c>
    </row>
    <row r="90" spans="1:12" ht="15" customHeight="1" x14ac:dyDescent="0.25">
      <c r="A90" s="13">
        <v>46048</v>
      </c>
      <c r="B90" s="14" t="s">
        <v>115</v>
      </c>
      <c r="C90" s="15">
        <v>600</v>
      </c>
      <c r="D90" s="14" t="s">
        <v>13</v>
      </c>
      <c r="E90" s="16">
        <v>2.77</v>
      </c>
      <c r="F90" s="16">
        <f t="shared" si="3"/>
        <v>1662</v>
      </c>
      <c r="G90" s="16">
        <f t="shared" si="4"/>
        <v>315.78000000000003</v>
      </c>
      <c r="H90" s="16">
        <f t="shared" si="5"/>
        <v>1977.78</v>
      </c>
      <c r="I90" s="14" t="s">
        <v>61</v>
      </c>
      <c r="J90" s="14" t="s">
        <v>15</v>
      </c>
      <c r="K90" s="17" t="s">
        <v>110</v>
      </c>
      <c r="L90" s="17" t="s">
        <v>63</v>
      </c>
    </row>
    <row r="91" spans="1:12" ht="15" customHeight="1" x14ac:dyDescent="0.25">
      <c r="A91" s="13">
        <v>46048</v>
      </c>
      <c r="B91" s="14" t="s">
        <v>116</v>
      </c>
      <c r="C91" s="15">
        <v>444</v>
      </c>
      <c r="D91" s="14" t="s">
        <v>13</v>
      </c>
      <c r="E91" s="16">
        <v>344.53</v>
      </c>
      <c r="F91" s="16">
        <f t="shared" si="3"/>
        <v>152971.31999999998</v>
      </c>
      <c r="G91" s="16">
        <f t="shared" si="4"/>
        <v>29064.550799999997</v>
      </c>
      <c r="H91" s="16">
        <f t="shared" si="5"/>
        <v>182035.87079999998</v>
      </c>
      <c r="I91" s="14" t="s">
        <v>61</v>
      </c>
      <c r="J91" s="14" t="s">
        <v>15</v>
      </c>
      <c r="K91" s="17" t="s">
        <v>110</v>
      </c>
      <c r="L91" s="17" t="s">
        <v>63</v>
      </c>
    </row>
    <row r="92" spans="1:12" ht="15" customHeight="1" x14ac:dyDescent="0.25">
      <c r="A92" s="13">
        <v>46048</v>
      </c>
      <c r="B92" s="14" t="s">
        <v>117</v>
      </c>
      <c r="C92" s="15">
        <v>120</v>
      </c>
      <c r="D92" s="14" t="s">
        <v>13</v>
      </c>
      <c r="E92" s="16">
        <v>105.73</v>
      </c>
      <c r="F92" s="16">
        <f t="shared" si="3"/>
        <v>12687.6</v>
      </c>
      <c r="G92" s="16">
        <f t="shared" si="4"/>
        <v>2410.6440000000002</v>
      </c>
      <c r="H92" s="16">
        <f t="shared" si="5"/>
        <v>15098.244000000001</v>
      </c>
      <c r="I92" s="14" t="s">
        <v>61</v>
      </c>
      <c r="J92" s="14" t="s">
        <v>15</v>
      </c>
      <c r="K92" s="17" t="s">
        <v>110</v>
      </c>
      <c r="L92" s="17" t="s">
        <v>63</v>
      </c>
    </row>
    <row r="93" spans="1:12" ht="15" customHeight="1" x14ac:dyDescent="0.25">
      <c r="A93" s="13">
        <v>46048</v>
      </c>
      <c r="B93" s="14" t="s">
        <v>118</v>
      </c>
      <c r="C93" s="15">
        <v>48</v>
      </c>
      <c r="D93" s="14" t="s">
        <v>13</v>
      </c>
      <c r="E93" s="16">
        <v>130.94</v>
      </c>
      <c r="F93" s="16">
        <f t="shared" si="3"/>
        <v>6285.12</v>
      </c>
      <c r="G93" s="16">
        <f t="shared" si="4"/>
        <v>1194.1728000000001</v>
      </c>
      <c r="H93" s="16">
        <f t="shared" si="5"/>
        <v>7479.2928000000002</v>
      </c>
      <c r="I93" s="14" t="s">
        <v>61</v>
      </c>
      <c r="J93" s="14" t="s">
        <v>15</v>
      </c>
      <c r="K93" s="17" t="s">
        <v>110</v>
      </c>
      <c r="L93" s="17" t="s">
        <v>63</v>
      </c>
    </row>
    <row r="94" spans="1:12" ht="15" customHeight="1" x14ac:dyDescent="0.25">
      <c r="A94" s="13">
        <v>46048</v>
      </c>
      <c r="B94" s="14" t="s">
        <v>119</v>
      </c>
      <c r="C94" s="15">
        <v>450</v>
      </c>
      <c r="D94" s="14" t="s">
        <v>13</v>
      </c>
      <c r="E94" s="16">
        <v>157.13999999999999</v>
      </c>
      <c r="F94" s="16">
        <f t="shared" si="3"/>
        <v>70713</v>
      </c>
      <c r="G94" s="16">
        <f t="shared" si="4"/>
        <v>13435.47</v>
      </c>
      <c r="H94" s="16">
        <f t="shared" si="5"/>
        <v>84148.47</v>
      </c>
      <c r="I94" s="14" t="s">
        <v>61</v>
      </c>
      <c r="J94" s="14" t="s">
        <v>15</v>
      </c>
      <c r="K94" s="17" t="s">
        <v>110</v>
      </c>
      <c r="L94" s="17" t="s">
        <v>63</v>
      </c>
    </row>
    <row r="95" spans="1:12" ht="15" customHeight="1" x14ac:dyDescent="0.25">
      <c r="A95" s="13">
        <v>46048</v>
      </c>
      <c r="B95" s="14" t="s">
        <v>120</v>
      </c>
      <c r="C95" s="15">
        <v>90</v>
      </c>
      <c r="D95" s="14" t="s">
        <v>13</v>
      </c>
      <c r="E95" s="16">
        <v>477.6</v>
      </c>
      <c r="F95" s="16">
        <f t="shared" si="3"/>
        <v>42984</v>
      </c>
      <c r="G95" s="16">
        <f t="shared" si="4"/>
        <v>8166.96</v>
      </c>
      <c r="H95" s="16">
        <f t="shared" si="5"/>
        <v>51150.96</v>
      </c>
      <c r="I95" s="14" t="s">
        <v>61</v>
      </c>
      <c r="J95" s="14" t="s">
        <v>15</v>
      </c>
      <c r="K95" s="17" t="s">
        <v>110</v>
      </c>
      <c r="L95" s="17" t="s">
        <v>63</v>
      </c>
    </row>
    <row r="96" spans="1:12" ht="15" customHeight="1" x14ac:dyDescent="0.25">
      <c r="A96" s="13">
        <v>46048</v>
      </c>
      <c r="B96" s="14" t="s">
        <v>121</v>
      </c>
      <c r="C96" s="15">
        <v>22</v>
      </c>
      <c r="D96" s="14" t="s">
        <v>13</v>
      </c>
      <c r="E96" s="16">
        <v>172.85</v>
      </c>
      <c r="F96" s="16">
        <f t="shared" si="3"/>
        <v>3802.7</v>
      </c>
      <c r="G96" s="16">
        <f t="shared" si="4"/>
        <v>722.51299999999992</v>
      </c>
      <c r="H96" s="16">
        <f t="shared" si="5"/>
        <v>4525.2129999999997</v>
      </c>
      <c r="I96" s="14" t="s">
        <v>61</v>
      </c>
      <c r="J96" s="14" t="s">
        <v>15</v>
      </c>
      <c r="K96" s="17" t="s">
        <v>110</v>
      </c>
      <c r="L96" s="17" t="s">
        <v>63</v>
      </c>
    </row>
    <row r="97" spans="1:12" ht="15" customHeight="1" x14ac:dyDescent="0.25">
      <c r="A97" s="13">
        <v>46048</v>
      </c>
      <c r="B97" s="14" t="s">
        <v>122</v>
      </c>
      <c r="C97" s="15">
        <v>120</v>
      </c>
      <c r="D97" s="14" t="s">
        <v>13</v>
      </c>
      <c r="E97" s="16">
        <v>162.68</v>
      </c>
      <c r="F97" s="16">
        <f t="shared" si="3"/>
        <v>19521.600000000002</v>
      </c>
      <c r="G97" s="16">
        <f t="shared" si="4"/>
        <v>3709.1040000000003</v>
      </c>
      <c r="H97" s="16">
        <f t="shared" si="5"/>
        <v>23230.704000000002</v>
      </c>
      <c r="I97" s="14" t="s">
        <v>61</v>
      </c>
      <c r="J97" s="14" t="s">
        <v>15</v>
      </c>
      <c r="K97" s="17" t="s">
        <v>110</v>
      </c>
      <c r="L97" s="17" t="s">
        <v>63</v>
      </c>
    </row>
    <row r="98" spans="1:12" ht="15" customHeight="1" x14ac:dyDescent="0.25">
      <c r="A98" s="13">
        <v>46048</v>
      </c>
      <c r="B98" s="14" t="s">
        <v>123</v>
      </c>
      <c r="C98" s="15">
        <v>12</v>
      </c>
      <c r="D98" s="14" t="s">
        <v>13</v>
      </c>
      <c r="E98" s="16">
        <v>121.09</v>
      </c>
      <c r="F98" s="16">
        <f t="shared" si="3"/>
        <v>1453.08</v>
      </c>
      <c r="G98" s="16">
        <f t="shared" si="4"/>
        <v>276.08519999999999</v>
      </c>
      <c r="H98" s="16">
        <f t="shared" si="5"/>
        <v>1729.1651999999999</v>
      </c>
      <c r="I98" s="14" t="s">
        <v>61</v>
      </c>
      <c r="J98" s="14" t="s">
        <v>15</v>
      </c>
      <c r="K98" s="17" t="s">
        <v>110</v>
      </c>
      <c r="L98" s="17" t="s">
        <v>63</v>
      </c>
    </row>
    <row r="99" spans="1:12" ht="15" customHeight="1" x14ac:dyDescent="0.25">
      <c r="A99" s="13">
        <v>46048</v>
      </c>
      <c r="B99" s="14" t="s">
        <v>124</v>
      </c>
      <c r="C99" s="15">
        <v>12</v>
      </c>
      <c r="D99" s="14" t="s">
        <v>13</v>
      </c>
      <c r="E99" s="16">
        <v>233.86</v>
      </c>
      <c r="F99" s="16">
        <f t="shared" si="3"/>
        <v>2806.32</v>
      </c>
      <c r="G99" s="16">
        <f t="shared" si="4"/>
        <v>533.20080000000007</v>
      </c>
      <c r="H99" s="16">
        <f t="shared" si="5"/>
        <v>3339.5208000000002</v>
      </c>
      <c r="I99" s="14" t="s">
        <v>61</v>
      </c>
      <c r="J99" s="14" t="s">
        <v>15</v>
      </c>
      <c r="K99" s="17" t="s">
        <v>110</v>
      </c>
      <c r="L99" s="17" t="s">
        <v>63</v>
      </c>
    </row>
    <row r="100" spans="1:12" ht="15" customHeight="1" x14ac:dyDescent="0.25">
      <c r="A100" s="13">
        <v>46048</v>
      </c>
      <c r="B100" s="14" t="s">
        <v>78</v>
      </c>
      <c r="C100" s="15">
        <v>600</v>
      </c>
      <c r="D100" s="14" t="s">
        <v>13</v>
      </c>
      <c r="E100" s="16">
        <v>2.77</v>
      </c>
      <c r="F100" s="16">
        <f t="shared" si="3"/>
        <v>1662</v>
      </c>
      <c r="G100" s="16">
        <f t="shared" si="4"/>
        <v>315.78000000000003</v>
      </c>
      <c r="H100" s="16">
        <f t="shared" si="5"/>
        <v>1977.78</v>
      </c>
      <c r="I100" s="14" t="s">
        <v>61</v>
      </c>
      <c r="J100" s="14" t="s">
        <v>15</v>
      </c>
      <c r="K100" s="17" t="s">
        <v>110</v>
      </c>
      <c r="L100" s="17" t="s">
        <v>63</v>
      </c>
    </row>
    <row r="101" spans="1:12" ht="15" customHeight="1" x14ac:dyDescent="0.25">
      <c r="A101" s="13">
        <v>46048</v>
      </c>
      <c r="B101" s="14" t="s">
        <v>125</v>
      </c>
      <c r="C101" s="15">
        <v>444</v>
      </c>
      <c r="D101" s="14" t="s">
        <v>13</v>
      </c>
      <c r="E101" s="16">
        <v>344.53</v>
      </c>
      <c r="F101" s="16">
        <f t="shared" si="3"/>
        <v>152971.31999999998</v>
      </c>
      <c r="G101" s="16">
        <f t="shared" si="4"/>
        <v>29064.550799999997</v>
      </c>
      <c r="H101" s="16">
        <f t="shared" si="5"/>
        <v>182035.87079999998</v>
      </c>
      <c r="I101" s="14" t="s">
        <v>61</v>
      </c>
      <c r="J101" s="14" t="s">
        <v>15</v>
      </c>
      <c r="K101" s="17" t="s">
        <v>110</v>
      </c>
      <c r="L101" s="17" t="s">
        <v>63</v>
      </c>
    </row>
    <row r="102" spans="1:12" ht="15" customHeight="1" x14ac:dyDescent="0.25">
      <c r="A102" s="13">
        <v>46048</v>
      </c>
      <c r="B102" s="14" t="s">
        <v>126</v>
      </c>
      <c r="C102" s="15">
        <v>450</v>
      </c>
      <c r="D102" s="14" t="s">
        <v>13</v>
      </c>
      <c r="E102" s="16">
        <v>157.13999999999999</v>
      </c>
      <c r="F102" s="16">
        <f t="shared" si="3"/>
        <v>70713</v>
      </c>
      <c r="G102" s="16">
        <f t="shared" si="4"/>
        <v>13435.47</v>
      </c>
      <c r="H102" s="16">
        <f t="shared" si="5"/>
        <v>84148.47</v>
      </c>
      <c r="I102" s="14" t="s">
        <v>61</v>
      </c>
      <c r="J102" s="14" t="s">
        <v>15</v>
      </c>
      <c r="K102" s="17" t="s">
        <v>110</v>
      </c>
      <c r="L102" s="17" t="s">
        <v>63</v>
      </c>
    </row>
    <row r="103" spans="1:12" ht="15" customHeight="1" x14ac:dyDescent="0.25">
      <c r="A103" s="13">
        <v>46049</v>
      </c>
      <c r="B103" s="14" t="s">
        <v>127</v>
      </c>
      <c r="C103" s="15">
        <v>1</v>
      </c>
      <c r="D103" s="14" t="s">
        <v>13</v>
      </c>
      <c r="E103" s="16">
        <v>59243.7</v>
      </c>
      <c r="F103" s="16">
        <f t="shared" si="3"/>
        <v>59243.7</v>
      </c>
      <c r="G103" s="16">
        <f t="shared" si="4"/>
        <v>11256.303</v>
      </c>
      <c r="H103" s="16">
        <f t="shared" si="5"/>
        <v>70500.002999999997</v>
      </c>
      <c r="I103" s="14" t="s">
        <v>128</v>
      </c>
      <c r="J103" s="14" t="s">
        <v>15</v>
      </c>
      <c r="K103" s="38" t="s">
        <v>392</v>
      </c>
      <c r="L103">
        <v>4065476</v>
      </c>
    </row>
    <row r="104" spans="1:12" ht="15" customHeight="1" x14ac:dyDescent="0.25">
      <c r="A104" s="13">
        <v>46051</v>
      </c>
      <c r="B104" s="14" t="s">
        <v>129</v>
      </c>
      <c r="C104" s="15">
        <v>3600</v>
      </c>
      <c r="D104" s="14" t="s">
        <v>130</v>
      </c>
      <c r="E104" s="16">
        <v>42.02</v>
      </c>
      <c r="F104" s="16">
        <f t="shared" si="3"/>
        <v>151272</v>
      </c>
      <c r="G104" s="16">
        <f t="shared" si="4"/>
        <v>28741.68</v>
      </c>
      <c r="H104" s="16">
        <f t="shared" si="5"/>
        <v>180013.68</v>
      </c>
      <c r="I104" s="14" t="s">
        <v>131</v>
      </c>
      <c r="J104" s="14" t="s">
        <v>15</v>
      </c>
      <c r="K104" s="17" t="s">
        <v>132</v>
      </c>
      <c r="L104">
        <v>4065475</v>
      </c>
    </row>
    <row r="105" spans="1:12" ht="15" customHeight="1" x14ac:dyDescent="0.25">
      <c r="A105" s="13">
        <v>46062</v>
      </c>
      <c r="B105" s="14" t="s">
        <v>133</v>
      </c>
      <c r="C105" s="15">
        <v>7</v>
      </c>
      <c r="D105" s="14" t="s">
        <v>13</v>
      </c>
      <c r="E105" s="16">
        <v>2100.84</v>
      </c>
      <c r="F105" s="16">
        <f t="shared" si="3"/>
        <v>14705.880000000001</v>
      </c>
      <c r="G105" s="16">
        <f t="shared" si="4"/>
        <v>2794.1172000000001</v>
      </c>
      <c r="H105" s="16">
        <f t="shared" si="5"/>
        <v>17499.997200000002</v>
      </c>
      <c r="I105" s="14" t="s">
        <v>101</v>
      </c>
      <c r="J105" s="14" t="s">
        <v>15</v>
      </c>
      <c r="K105" s="17" t="s">
        <v>134</v>
      </c>
      <c r="L105">
        <v>4065494</v>
      </c>
    </row>
    <row r="106" spans="1:12" ht="15" customHeight="1" x14ac:dyDescent="0.25">
      <c r="A106" s="13">
        <v>46062</v>
      </c>
      <c r="B106" s="14" t="s">
        <v>135</v>
      </c>
      <c r="C106" s="15">
        <v>60</v>
      </c>
      <c r="D106" s="14" t="s">
        <v>13</v>
      </c>
      <c r="E106" s="16">
        <v>155.94</v>
      </c>
      <c r="F106" s="16">
        <f t="shared" si="3"/>
        <v>9356.4</v>
      </c>
      <c r="G106" s="16">
        <f t="shared" si="4"/>
        <v>1777.7159999999999</v>
      </c>
      <c r="H106" s="16">
        <f t="shared" si="5"/>
        <v>11134.116</v>
      </c>
      <c r="I106" s="14" t="s">
        <v>136</v>
      </c>
      <c r="J106" s="14" t="s">
        <v>15</v>
      </c>
      <c r="K106" s="38" t="s">
        <v>420</v>
      </c>
      <c r="L106">
        <v>4065498</v>
      </c>
    </row>
    <row r="107" spans="1:12" ht="15" customHeight="1" x14ac:dyDescent="0.25">
      <c r="A107" s="13">
        <v>46062</v>
      </c>
      <c r="B107" s="14" t="s">
        <v>137</v>
      </c>
      <c r="C107" s="15">
        <v>220</v>
      </c>
      <c r="D107" s="14" t="s">
        <v>13</v>
      </c>
      <c r="E107" s="16">
        <v>25</v>
      </c>
      <c r="F107" s="16">
        <f t="shared" si="3"/>
        <v>5500</v>
      </c>
      <c r="G107" s="16">
        <f t="shared" si="4"/>
        <v>1045</v>
      </c>
      <c r="H107" s="16">
        <f t="shared" si="5"/>
        <v>6545</v>
      </c>
      <c r="I107" s="14" t="s">
        <v>136</v>
      </c>
      <c r="J107" s="14" t="s">
        <v>15</v>
      </c>
      <c r="K107" s="38" t="s">
        <v>420</v>
      </c>
      <c r="L107">
        <v>4065498</v>
      </c>
    </row>
    <row r="108" spans="1:12" ht="15" customHeight="1" x14ac:dyDescent="0.25">
      <c r="A108" s="13">
        <v>46071</v>
      </c>
      <c r="B108" s="14" t="s">
        <v>138</v>
      </c>
      <c r="C108" s="15">
        <v>36</v>
      </c>
      <c r="D108" s="14" t="s">
        <v>130</v>
      </c>
      <c r="E108" s="16">
        <v>1063.03</v>
      </c>
      <c r="F108" s="16">
        <f t="shared" si="3"/>
        <v>38269.08</v>
      </c>
      <c r="G108" s="16">
        <f t="shared" si="4"/>
        <v>7271.1252000000004</v>
      </c>
      <c r="H108" s="16">
        <f t="shared" si="5"/>
        <v>45540.205200000004</v>
      </c>
      <c r="I108" s="14" t="s">
        <v>61</v>
      </c>
      <c r="J108" s="14" t="s">
        <v>15</v>
      </c>
      <c r="K108" s="17" t="s">
        <v>139</v>
      </c>
      <c r="L108" s="17" t="s">
        <v>63</v>
      </c>
    </row>
    <row r="109" spans="1:12" ht="15" customHeight="1" x14ac:dyDescent="0.25">
      <c r="A109" s="13">
        <v>46071</v>
      </c>
      <c r="B109" s="14" t="s">
        <v>140</v>
      </c>
      <c r="C109" s="15">
        <v>12</v>
      </c>
      <c r="D109" s="14" t="s">
        <v>130</v>
      </c>
      <c r="E109" s="16">
        <v>568.34</v>
      </c>
      <c r="F109" s="16">
        <f t="shared" si="3"/>
        <v>6820.08</v>
      </c>
      <c r="G109" s="16">
        <f t="shared" si="4"/>
        <v>1295.8152</v>
      </c>
      <c r="H109" s="16">
        <f t="shared" si="5"/>
        <v>8115.8951999999999</v>
      </c>
      <c r="I109" s="14" t="s">
        <v>61</v>
      </c>
      <c r="J109" s="14" t="s">
        <v>15</v>
      </c>
      <c r="K109" s="17" t="s">
        <v>139</v>
      </c>
      <c r="L109" s="17" t="s">
        <v>63</v>
      </c>
    </row>
    <row r="110" spans="1:12" ht="15" customHeight="1" x14ac:dyDescent="0.25">
      <c r="A110" s="13">
        <v>46071</v>
      </c>
      <c r="B110" s="14" t="s">
        <v>141</v>
      </c>
      <c r="C110" s="15">
        <v>48</v>
      </c>
      <c r="D110" s="14" t="s">
        <v>130</v>
      </c>
      <c r="E110" s="16">
        <v>510</v>
      </c>
      <c r="F110" s="16">
        <f t="shared" si="3"/>
        <v>24480</v>
      </c>
      <c r="G110" s="16">
        <f t="shared" si="4"/>
        <v>4651.2</v>
      </c>
      <c r="H110" s="16">
        <f t="shared" si="5"/>
        <v>29131.200000000001</v>
      </c>
      <c r="I110" s="14" t="s">
        <v>61</v>
      </c>
      <c r="J110" s="14" t="s">
        <v>15</v>
      </c>
      <c r="K110" s="17" t="s">
        <v>139</v>
      </c>
      <c r="L110" s="17" t="s">
        <v>63</v>
      </c>
    </row>
    <row r="111" spans="1:12" ht="15" customHeight="1" x14ac:dyDescent="0.25">
      <c r="A111" s="13">
        <v>46071</v>
      </c>
      <c r="B111" s="14" t="s">
        <v>142</v>
      </c>
      <c r="C111" s="15">
        <v>12</v>
      </c>
      <c r="D111" s="14" t="s">
        <v>130</v>
      </c>
      <c r="E111" s="16">
        <v>1386.5</v>
      </c>
      <c r="F111" s="16">
        <f t="shared" si="3"/>
        <v>16638</v>
      </c>
      <c r="G111" s="16">
        <f t="shared" si="4"/>
        <v>3161.2200000000003</v>
      </c>
      <c r="H111" s="16">
        <f t="shared" si="5"/>
        <v>19799.22</v>
      </c>
      <c r="I111" s="14" t="s">
        <v>61</v>
      </c>
      <c r="J111" s="14" t="s">
        <v>15</v>
      </c>
      <c r="K111" s="17" t="s">
        <v>139</v>
      </c>
      <c r="L111" s="17" t="s">
        <v>63</v>
      </c>
    </row>
    <row r="112" spans="1:12" ht="15" customHeight="1" x14ac:dyDescent="0.25">
      <c r="A112" s="13">
        <v>46071</v>
      </c>
      <c r="B112" s="14" t="s">
        <v>143</v>
      </c>
      <c r="C112" s="15">
        <v>156</v>
      </c>
      <c r="D112" s="14" t="s">
        <v>13</v>
      </c>
      <c r="E112" s="16">
        <v>223.39</v>
      </c>
      <c r="F112" s="16">
        <f t="shared" si="3"/>
        <v>34848.839999999997</v>
      </c>
      <c r="G112" s="16">
        <f t="shared" si="4"/>
        <v>6621.2795999999998</v>
      </c>
      <c r="H112" s="16">
        <f t="shared" si="5"/>
        <v>41470.119599999998</v>
      </c>
      <c r="I112" s="14" t="s">
        <v>61</v>
      </c>
      <c r="J112" s="14" t="s">
        <v>15</v>
      </c>
      <c r="K112" s="17" t="s">
        <v>139</v>
      </c>
      <c r="L112" s="17" t="s">
        <v>63</v>
      </c>
    </row>
    <row r="113" spans="1:12" ht="15" customHeight="1" x14ac:dyDescent="0.25">
      <c r="A113" s="13">
        <v>46071</v>
      </c>
      <c r="B113" s="14" t="s">
        <v>144</v>
      </c>
      <c r="C113" s="15">
        <v>8</v>
      </c>
      <c r="D113" s="14" t="s">
        <v>13</v>
      </c>
      <c r="E113" s="16">
        <v>203.36</v>
      </c>
      <c r="F113" s="16">
        <f t="shared" si="3"/>
        <v>1626.88</v>
      </c>
      <c r="G113" s="16">
        <f t="shared" si="4"/>
        <v>309.10720000000003</v>
      </c>
      <c r="H113" s="16">
        <f t="shared" si="5"/>
        <v>1935.9872</v>
      </c>
      <c r="I113" s="14" t="s">
        <v>61</v>
      </c>
      <c r="J113" s="14" t="s">
        <v>15</v>
      </c>
      <c r="K113" s="17" t="s">
        <v>139</v>
      </c>
      <c r="L113" s="17" t="s">
        <v>63</v>
      </c>
    </row>
    <row r="114" spans="1:12" ht="15" customHeight="1" x14ac:dyDescent="0.25">
      <c r="A114" s="13">
        <v>46071</v>
      </c>
      <c r="B114" s="14" t="s">
        <v>145</v>
      </c>
      <c r="C114" s="15">
        <v>24</v>
      </c>
      <c r="D114" s="14" t="s">
        <v>13</v>
      </c>
      <c r="E114" s="16">
        <v>277.31</v>
      </c>
      <c r="F114" s="16">
        <f t="shared" si="3"/>
        <v>6655.4400000000005</v>
      </c>
      <c r="G114" s="16">
        <f t="shared" si="4"/>
        <v>1264.5336000000002</v>
      </c>
      <c r="H114" s="16">
        <f t="shared" si="5"/>
        <v>7919.9736000000012</v>
      </c>
      <c r="I114" s="14" t="s">
        <v>61</v>
      </c>
      <c r="J114" s="14" t="s">
        <v>15</v>
      </c>
      <c r="K114" s="17" t="s">
        <v>139</v>
      </c>
      <c r="L114" s="17" t="s">
        <v>63</v>
      </c>
    </row>
    <row r="115" spans="1:12" ht="15" customHeight="1" x14ac:dyDescent="0.25">
      <c r="A115" s="13">
        <v>46071</v>
      </c>
      <c r="B115" s="14" t="s">
        <v>146</v>
      </c>
      <c r="C115" s="15">
        <v>16</v>
      </c>
      <c r="D115" s="14" t="s">
        <v>13</v>
      </c>
      <c r="E115" s="16">
        <v>129.41</v>
      </c>
      <c r="F115" s="16">
        <f t="shared" si="3"/>
        <v>2070.56</v>
      </c>
      <c r="G115" s="16">
        <f t="shared" si="4"/>
        <v>393.40640000000002</v>
      </c>
      <c r="H115" s="16">
        <f t="shared" si="5"/>
        <v>2463.9663999999998</v>
      </c>
      <c r="I115" s="14" t="s">
        <v>61</v>
      </c>
      <c r="J115" s="14" t="s">
        <v>15</v>
      </c>
      <c r="K115" s="17" t="s">
        <v>139</v>
      </c>
      <c r="L115" s="17" t="s">
        <v>63</v>
      </c>
    </row>
    <row r="116" spans="1:12" ht="15" customHeight="1" x14ac:dyDescent="0.25">
      <c r="A116" s="13">
        <v>46071</v>
      </c>
      <c r="B116" s="14" t="s">
        <v>147</v>
      </c>
      <c r="C116" s="15">
        <v>24</v>
      </c>
      <c r="D116" s="14" t="s">
        <v>13</v>
      </c>
      <c r="E116" s="16">
        <v>647.05999999999995</v>
      </c>
      <c r="F116" s="16">
        <f t="shared" si="3"/>
        <v>15529.439999999999</v>
      </c>
      <c r="G116" s="16">
        <f t="shared" si="4"/>
        <v>2950.5935999999997</v>
      </c>
      <c r="H116" s="16">
        <f t="shared" si="5"/>
        <v>18480.033599999999</v>
      </c>
      <c r="I116" s="14" t="s">
        <v>61</v>
      </c>
      <c r="J116" s="14" t="s">
        <v>15</v>
      </c>
      <c r="K116" s="17" t="s">
        <v>139</v>
      </c>
      <c r="L116" s="17" t="s">
        <v>63</v>
      </c>
    </row>
    <row r="117" spans="1:12" ht="15" customHeight="1" x14ac:dyDescent="0.25">
      <c r="A117" s="13">
        <v>46071</v>
      </c>
      <c r="B117" s="14" t="s">
        <v>148</v>
      </c>
      <c r="C117" s="15">
        <v>8</v>
      </c>
      <c r="D117" s="14" t="s">
        <v>13</v>
      </c>
      <c r="E117" s="16">
        <v>1016.81</v>
      </c>
      <c r="F117" s="16">
        <f t="shared" si="3"/>
        <v>8134.48</v>
      </c>
      <c r="G117" s="16">
        <f t="shared" si="4"/>
        <v>1545.5511999999999</v>
      </c>
      <c r="H117" s="16">
        <f t="shared" si="5"/>
        <v>9680.0311999999994</v>
      </c>
      <c r="I117" s="14" t="s">
        <v>61</v>
      </c>
      <c r="J117" s="14" t="s">
        <v>15</v>
      </c>
      <c r="K117" s="17" t="s">
        <v>139</v>
      </c>
      <c r="L117" s="17" t="s">
        <v>63</v>
      </c>
    </row>
    <row r="118" spans="1:12" ht="15" customHeight="1" x14ac:dyDescent="0.25">
      <c r="A118" s="13">
        <v>46071</v>
      </c>
      <c r="B118" s="14" t="s">
        <v>149</v>
      </c>
      <c r="C118" s="15">
        <v>8</v>
      </c>
      <c r="D118" s="14" t="s">
        <v>13</v>
      </c>
      <c r="E118" s="16">
        <v>363.03</v>
      </c>
      <c r="F118" s="16">
        <f t="shared" si="3"/>
        <v>2904.24</v>
      </c>
      <c r="G118" s="16">
        <f t="shared" si="4"/>
        <v>551.80559999999991</v>
      </c>
      <c r="H118" s="16">
        <f t="shared" si="5"/>
        <v>3456.0455999999995</v>
      </c>
      <c r="I118" s="14" t="s">
        <v>61</v>
      </c>
      <c r="J118" s="14" t="s">
        <v>15</v>
      </c>
      <c r="K118" s="17" t="s">
        <v>139</v>
      </c>
      <c r="L118" s="17" t="s">
        <v>63</v>
      </c>
    </row>
    <row r="119" spans="1:12" ht="15" customHeight="1" x14ac:dyDescent="0.25">
      <c r="A119" s="13">
        <v>46071</v>
      </c>
      <c r="B119" s="14" t="s">
        <v>150</v>
      </c>
      <c r="C119" s="15">
        <v>8</v>
      </c>
      <c r="D119" s="14" t="s">
        <v>13</v>
      </c>
      <c r="E119" s="16">
        <v>360.5</v>
      </c>
      <c r="F119" s="16">
        <f t="shared" si="3"/>
        <v>2884</v>
      </c>
      <c r="G119" s="16">
        <f t="shared" si="4"/>
        <v>547.96</v>
      </c>
      <c r="H119" s="16">
        <f t="shared" si="5"/>
        <v>3431.96</v>
      </c>
      <c r="I119" s="14" t="s">
        <v>61</v>
      </c>
      <c r="J119" s="14" t="s">
        <v>15</v>
      </c>
      <c r="K119" s="17" t="s">
        <v>139</v>
      </c>
      <c r="L119" s="17" t="s">
        <v>63</v>
      </c>
    </row>
    <row r="120" spans="1:12" ht="15" customHeight="1" x14ac:dyDescent="0.25">
      <c r="A120" s="13">
        <v>46071</v>
      </c>
      <c r="B120" s="14" t="s">
        <v>151</v>
      </c>
      <c r="C120" s="15">
        <v>16</v>
      </c>
      <c r="D120" s="14" t="s">
        <v>13</v>
      </c>
      <c r="E120" s="16">
        <v>221.85</v>
      </c>
      <c r="F120" s="16">
        <f t="shared" si="3"/>
        <v>3549.6</v>
      </c>
      <c r="G120" s="16">
        <f t="shared" si="4"/>
        <v>674.42399999999998</v>
      </c>
      <c r="H120" s="16">
        <f t="shared" si="5"/>
        <v>4224.0239999999994</v>
      </c>
      <c r="I120" s="14" t="s">
        <v>61</v>
      </c>
      <c r="J120" s="14" t="s">
        <v>15</v>
      </c>
      <c r="K120" s="17" t="s">
        <v>139</v>
      </c>
      <c r="L120" s="17" t="s">
        <v>63</v>
      </c>
    </row>
    <row r="121" spans="1:12" ht="15" customHeight="1" x14ac:dyDescent="0.25">
      <c r="A121" s="13">
        <v>46071</v>
      </c>
      <c r="B121" s="14" t="s">
        <v>152</v>
      </c>
      <c r="C121" s="15">
        <v>32</v>
      </c>
      <c r="D121" s="14" t="s">
        <v>13</v>
      </c>
      <c r="E121" s="16">
        <v>138.66</v>
      </c>
      <c r="F121" s="16">
        <f t="shared" si="3"/>
        <v>4437.12</v>
      </c>
      <c r="G121" s="16">
        <f t="shared" si="4"/>
        <v>843.05279999999993</v>
      </c>
      <c r="H121" s="16">
        <f t="shared" si="5"/>
        <v>5280.1728000000003</v>
      </c>
      <c r="I121" s="14" t="s">
        <v>61</v>
      </c>
      <c r="J121" s="14" t="s">
        <v>15</v>
      </c>
      <c r="K121" s="17" t="s">
        <v>139</v>
      </c>
      <c r="L121" s="17" t="s">
        <v>63</v>
      </c>
    </row>
    <row r="122" spans="1:12" ht="15" customHeight="1" x14ac:dyDescent="0.25">
      <c r="A122" s="13">
        <v>46071</v>
      </c>
      <c r="B122" s="14" t="s">
        <v>153</v>
      </c>
      <c r="C122" s="15">
        <v>112</v>
      </c>
      <c r="D122" s="14" t="s">
        <v>13</v>
      </c>
      <c r="E122" s="16">
        <v>138.66</v>
      </c>
      <c r="F122" s="16">
        <f t="shared" si="3"/>
        <v>15529.92</v>
      </c>
      <c r="G122" s="16">
        <f t="shared" si="4"/>
        <v>2950.6848</v>
      </c>
      <c r="H122" s="16">
        <f t="shared" si="5"/>
        <v>18480.604800000001</v>
      </c>
      <c r="I122" s="14" t="s">
        <v>61</v>
      </c>
      <c r="J122" s="14" t="s">
        <v>15</v>
      </c>
      <c r="K122" s="17" t="s">
        <v>139</v>
      </c>
      <c r="L122" s="17" t="s">
        <v>63</v>
      </c>
    </row>
    <row r="123" spans="1:12" ht="15" customHeight="1" x14ac:dyDescent="0.25">
      <c r="A123" s="13">
        <v>46071</v>
      </c>
      <c r="B123" s="14" t="s">
        <v>154</v>
      </c>
      <c r="C123" s="15">
        <v>60</v>
      </c>
      <c r="D123" s="14" t="s">
        <v>13</v>
      </c>
      <c r="E123" s="16">
        <v>295.8</v>
      </c>
      <c r="F123" s="16">
        <f t="shared" si="3"/>
        <v>17748</v>
      </c>
      <c r="G123" s="16">
        <f t="shared" si="4"/>
        <v>3372.12</v>
      </c>
      <c r="H123" s="16">
        <f t="shared" si="5"/>
        <v>21120.12</v>
      </c>
      <c r="I123" s="14" t="s">
        <v>61</v>
      </c>
      <c r="J123" s="14" t="s">
        <v>15</v>
      </c>
      <c r="K123" s="17" t="s">
        <v>139</v>
      </c>
      <c r="L123" s="17" t="s">
        <v>63</v>
      </c>
    </row>
    <row r="124" spans="1:12" ht="15" customHeight="1" x14ac:dyDescent="0.25">
      <c r="A124" s="13">
        <v>46071</v>
      </c>
      <c r="B124" s="14" t="s">
        <v>155</v>
      </c>
      <c r="C124" s="15">
        <v>24</v>
      </c>
      <c r="D124" s="14" t="s">
        <v>13</v>
      </c>
      <c r="E124" s="16">
        <v>138.66</v>
      </c>
      <c r="F124" s="16">
        <f t="shared" si="3"/>
        <v>3327.84</v>
      </c>
      <c r="G124" s="16">
        <f t="shared" si="4"/>
        <v>632.28960000000006</v>
      </c>
      <c r="H124" s="16">
        <f t="shared" si="5"/>
        <v>3960.1296000000002</v>
      </c>
      <c r="I124" s="14" t="s">
        <v>61</v>
      </c>
      <c r="J124" s="14" t="s">
        <v>15</v>
      </c>
      <c r="K124" s="17" t="s">
        <v>139</v>
      </c>
      <c r="L124" s="17" t="s">
        <v>63</v>
      </c>
    </row>
    <row r="125" spans="1:12" ht="15" customHeight="1" x14ac:dyDescent="0.25">
      <c r="A125" s="13">
        <v>46071</v>
      </c>
      <c r="B125" s="14" t="s">
        <v>156</v>
      </c>
      <c r="C125" s="15">
        <v>160</v>
      </c>
      <c r="D125" s="14" t="s">
        <v>13</v>
      </c>
      <c r="E125" s="16">
        <v>205.88</v>
      </c>
      <c r="F125" s="16">
        <f t="shared" si="3"/>
        <v>32940.800000000003</v>
      </c>
      <c r="G125" s="16">
        <f t="shared" si="4"/>
        <v>6258.7520000000004</v>
      </c>
      <c r="H125" s="16">
        <f t="shared" si="5"/>
        <v>39199.552000000003</v>
      </c>
      <c r="I125" s="14" t="s">
        <v>61</v>
      </c>
      <c r="J125" s="14" t="s">
        <v>15</v>
      </c>
      <c r="K125" s="17" t="s">
        <v>139</v>
      </c>
      <c r="L125" s="17" t="s">
        <v>63</v>
      </c>
    </row>
    <row r="126" spans="1:12" ht="15" customHeight="1" x14ac:dyDescent="0.25">
      <c r="A126" s="13">
        <v>46071</v>
      </c>
      <c r="B126" s="14" t="s">
        <v>157</v>
      </c>
      <c r="C126" s="15">
        <v>48</v>
      </c>
      <c r="D126" s="14" t="s">
        <v>13</v>
      </c>
      <c r="E126" s="16">
        <v>290.27999999999997</v>
      </c>
      <c r="F126" s="16">
        <f t="shared" si="3"/>
        <v>13933.439999999999</v>
      </c>
      <c r="G126" s="16">
        <f t="shared" si="4"/>
        <v>2647.3535999999999</v>
      </c>
      <c r="H126" s="16">
        <f t="shared" si="5"/>
        <v>16580.793599999997</v>
      </c>
      <c r="I126" s="14" t="s">
        <v>61</v>
      </c>
      <c r="J126" s="14" t="s">
        <v>15</v>
      </c>
      <c r="K126" s="17" t="s">
        <v>139</v>
      </c>
      <c r="L126" s="17" t="s">
        <v>63</v>
      </c>
    </row>
    <row r="127" spans="1:12" ht="15" customHeight="1" x14ac:dyDescent="0.25">
      <c r="A127" s="13">
        <v>46071</v>
      </c>
      <c r="B127" s="14" t="s">
        <v>158</v>
      </c>
      <c r="C127" s="15">
        <v>36</v>
      </c>
      <c r="D127" s="14" t="s">
        <v>13</v>
      </c>
      <c r="E127" s="16">
        <v>323.52999999999997</v>
      </c>
      <c r="F127" s="16">
        <f t="shared" si="3"/>
        <v>11647.079999999998</v>
      </c>
      <c r="G127" s="16">
        <f t="shared" si="4"/>
        <v>2212.9451999999997</v>
      </c>
      <c r="H127" s="16">
        <f t="shared" si="5"/>
        <v>13860.025199999998</v>
      </c>
      <c r="I127" s="14" t="s">
        <v>61</v>
      </c>
      <c r="J127" s="14" t="s">
        <v>15</v>
      </c>
      <c r="K127" s="17" t="s">
        <v>139</v>
      </c>
      <c r="L127" s="17" t="s">
        <v>63</v>
      </c>
    </row>
    <row r="128" spans="1:12" ht="15" customHeight="1" x14ac:dyDescent="0.25">
      <c r="A128" s="13">
        <v>46071</v>
      </c>
      <c r="B128" s="14" t="s">
        <v>159</v>
      </c>
      <c r="C128" s="15">
        <v>16</v>
      </c>
      <c r="D128" s="14" t="s">
        <v>13</v>
      </c>
      <c r="E128" s="16">
        <v>219.54</v>
      </c>
      <c r="F128" s="16">
        <f t="shared" si="3"/>
        <v>3512.64</v>
      </c>
      <c r="G128" s="16">
        <f t="shared" si="4"/>
        <v>667.40160000000003</v>
      </c>
      <c r="H128" s="16">
        <f t="shared" si="5"/>
        <v>4180.0415999999996</v>
      </c>
      <c r="I128" s="14" t="s">
        <v>61</v>
      </c>
      <c r="J128" s="14" t="s">
        <v>15</v>
      </c>
      <c r="K128" s="17" t="s">
        <v>139</v>
      </c>
      <c r="L128" s="17" t="s">
        <v>63</v>
      </c>
    </row>
    <row r="129" spans="1:12" ht="15" customHeight="1" x14ac:dyDescent="0.25">
      <c r="A129" s="13">
        <v>46071</v>
      </c>
      <c r="B129" s="14" t="s">
        <v>160</v>
      </c>
      <c r="C129" s="15">
        <v>16</v>
      </c>
      <c r="D129" s="14" t="s">
        <v>13</v>
      </c>
      <c r="E129" s="16">
        <v>366.05</v>
      </c>
      <c r="F129" s="16">
        <f t="shared" si="3"/>
        <v>5856.8</v>
      </c>
      <c r="G129" s="16">
        <f t="shared" si="4"/>
        <v>1112.7920000000001</v>
      </c>
      <c r="H129" s="16">
        <f t="shared" si="5"/>
        <v>6969.5920000000006</v>
      </c>
      <c r="I129" s="14" t="s">
        <v>61</v>
      </c>
      <c r="J129" s="14" t="s">
        <v>15</v>
      </c>
      <c r="K129" s="17" t="s">
        <v>139</v>
      </c>
      <c r="L129" s="17" t="s">
        <v>63</v>
      </c>
    </row>
    <row r="130" spans="1:12" ht="15" customHeight="1" x14ac:dyDescent="0.25">
      <c r="A130" s="13">
        <v>46071</v>
      </c>
      <c r="B130" s="14" t="s">
        <v>161</v>
      </c>
      <c r="C130" s="15">
        <v>16</v>
      </c>
      <c r="D130" s="14" t="s">
        <v>13</v>
      </c>
      <c r="E130" s="16">
        <v>1016.81</v>
      </c>
      <c r="F130" s="16">
        <f t="shared" ref="F130:F193" si="6">C130*E130</f>
        <v>16268.96</v>
      </c>
      <c r="G130" s="16">
        <f t="shared" ref="G130:G193" si="7">F130*0.19</f>
        <v>3091.1023999999998</v>
      </c>
      <c r="H130" s="16">
        <f t="shared" ref="H130:H193" si="8">F130+G130</f>
        <v>19360.062399999999</v>
      </c>
      <c r="I130" s="14" t="s">
        <v>61</v>
      </c>
      <c r="J130" s="14" t="s">
        <v>15</v>
      </c>
      <c r="K130" s="17" t="s">
        <v>139</v>
      </c>
      <c r="L130" s="17" t="s">
        <v>63</v>
      </c>
    </row>
    <row r="131" spans="1:12" ht="15" customHeight="1" x14ac:dyDescent="0.25">
      <c r="A131" s="13">
        <v>46071</v>
      </c>
      <c r="B131" s="14" t="s">
        <v>162</v>
      </c>
      <c r="C131" s="15">
        <v>200</v>
      </c>
      <c r="D131" s="14" t="s">
        <v>13</v>
      </c>
      <c r="E131" s="16">
        <v>2.52</v>
      </c>
      <c r="F131" s="16">
        <f t="shared" si="6"/>
        <v>504</v>
      </c>
      <c r="G131" s="16">
        <f t="shared" si="7"/>
        <v>95.76</v>
      </c>
      <c r="H131" s="16">
        <f t="shared" si="8"/>
        <v>599.76</v>
      </c>
      <c r="I131" s="14" t="s">
        <v>61</v>
      </c>
      <c r="J131" s="14" t="s">
        <v>15</v>
      </c>
      <c r="K131" s="17" t="s">
        <v>139</v>
      </c>
      <c r="L131" s="17" t="s">
        <v>63</v>
      </c>
    </row>
    <row r="132" spans="1:12" s="31" customFormat="1" ht="14.25" customHeight="1" x14ac:dyDescent="0.25">
      <c r="A132" s="46">
        <v>46075</v>
      </c>
      <c r="B132" s="47" t="s">
        <v>163</v>
      </c>
      <c r="C132" s="48">
        <v>30.1</v>
      </c>
      <c r="D132" s="47" t="s">
        <v>164</v>
      </c>
      <c r="E132" s="49">
        <v>6944</v>
      </c>
      <c r="F132" s="49">
        <f t="shared" si="6"/>
        <v>209014.40000000002</v>
      </c>
      <c r="G132" s="49">
        <f t="shared" si="7"/>
        <v>39712.736000000004</v>
      </c>
      <c r="H132" s="49">
        <f t="shared" si="8"/>
        <v>248727.13600000003</v>
      </c>
      <c r="I132" s="66" t="s">
        <v>165</v>
      </c>
      <c r="J132" s="47" t="s">
        <v>15</v>
      </c>
      <c r="K132" s="31" t="s">
        <v>426</v>
      </c>
      <c r="L132" s="31">
        <v>5759328</v>
      </c>
    </row>
    <row r="133" spans="1:12" ht="15" customHeight="1" x14ac:dyDescent="0.25">
      <c r="A133" s="13">
        <v>46050</v>
      </c>
      <c r="B133" s="14" t="s">
        <v>166</v>
      </c>
      <c r="C133" s="15">
        <v>1</v>
      </c>
      <c r="D133" s="14" t="s">
        <v>13</v>
      </c>
      <c r="E133" s="16">
        <v>5050</v>
      </c>
      <c r="F133" s="16">
        <f t="shared" si="6"/>
        <v>5050</v>
      </c>
      <c r="G133" s="16">
        <f t="shared" si="7"/>
        <v>959.5</v>
      </c>
      <c r="H133" s="16">
        <f t="shared" si="8"/>
        <v>6009.5</v>
      </c>
      <c r="I133" s="14" t="s">
        <v>167</v>
      </c>
      <c r="J133" s="14" t="s">
        <v>15</v>
      </c>
      <c r="K133" s="39" t="s">
        <v>393</v>
      </c>
      <c r="L133">
        <v>4065490</v>
      </c>
    </row>
    <row r="134" spans="1:12" ht="15" customHeight="1" x14ac:dyDescent="0.25">
      <c r="A134" s="13">
        <v>46050</v>
      </c>
      <c r="B134" s="14" t="s">
        <v>168</v>
      </c>
      <c r="C134" s="15">
        <v>36</v>
      </c>
      <c r="D134" s="14" t="s">
        <v>13</v>
      </c>
      <c r="E134" s="16">
        <v>45</v>
      </c>
      <c r="F134" s="16">
        <f t="shared" si="6"/>
        <v>1620</v>
      </c>
      <c r="G134" s="16">
        <f t="shared" si="7"/>
        <v>307.8</v>
      </c>
      <c r="H134" s="16">
        <f t="shared" si="8"/>
        <v>1927.8</v>
      </c>
      <c r="I134" s="14" t="s">
        <v>167</v>
      </c>
      <c r="J134" s="14" t="s">
        <v>15</v>
      </c>
      <c r="K134" s="39" t="s">
        <v>393</v>
      </c>
      <c r="L134">
        <v>4065490</v>
      </c>
    </row>
    <row r="135" spans="1:12" ht="15" customHeight="1" x14ac:dyDescent="0.25">
      <c r="A135" s="13">
        <v>46050</v>
      </c>
      <c r="B135" s="14" t="s">
        <v>169</v>
      </c>
      <c r="C135" s="15">
        <v>5</v>
      </c>
      <c r="D135" s="14" t="s">
        <v>13</v>
      </c>
      <c r="E135" s="16">
        <v>117</v>
      </c>
      <c r="F135" s="16">
        <f t="shared" si="6"/>
        <v>585</v>
      </c>
      <c r="G135" s="16">
        <f t="shared" si="7"/>
        <v>111.15</v>
      </c>
      <c r="H135" s="16">
        <f t="shared" si="8"/>
        <v>696.15</v>
      </c>
      <c r="I135" s="14" t="s">
        <v>167</v>
      </c>
      <c r="J135" s="14" t="s">
        <v>15</v>
      </c>
      <c r="K135" s="39" t="s">
        <v>393</v>
      </c>
      <c r="L135">
        <v>4065490</v>
      </c>
    </row>
    <row r="136" spans="1:12" ht="15" customHeight="1" x14ac:dyDescent="0.25">
      <c r="A136" s="13">
        <v>46050</v>
      </c>
      <c r="B136" s="14" t="s">
        <v>170</v>
      </c>
      <c r="C136" s="15">
        <v>5</v>
      </c>
      <c r="D136" s="14" t="s">
        <v>13</v>
      </c>
      <c r="E136" s="16">
        <v>117</v>
      </c>
      <c r="F136" s="16">
        <f t="shared" si="6"/>
        <v>585</v>
      </c>
      <c r="G136" s="16">
        <f t="shared" si="7"/>
        <v>111.15</v>
      </c>
      <c r="H136" s="16">
        <f t="shared" si="8"/>
        <v>696.15</v>
      </c>
      <c r="I136" s="14" t="s">
        <v>167</v>
      </c>
      <c r="J136" s="14" t="s">
        <v>15</v>
      </c>
      <c r="K136" s="39" t="s">
        <v>393</v>
      </c>
      <c r="L136">
        <v>4065490</v>
      </c>
    </row>
    <row r="137" spans="1:12" ht="15" customHeight="1" x14ac:dyDescent="0.25">
      <c r="A137" s="13">
        <v>46050</v>
      </c>
      <c r="B137" s="14" t="s">
        <v>171</v>
      </c>
      <c r="C137" s="15">
        <v>4</v>
      </c>
      <c r="D137" s="14" t="s">
        <v>13</v>
      </c>
      <c r="E137" s="16">
        <v>1415</v>
      </c>
      <c r="F137" s="16">
        <f t="shared" si="6"/>
        <v>5660</v>
      </c>
      <c r="G137" s="16">
        <f t="shared" si="7"/>
        <v>1075.4000000000001</v>
      </c>
      <c r="H137" s="16">
        <f t="shared" si="8"/>
        <v>6735.4</v>
      </c>
      <c r="I137" s="14" t="s">
        <v>167</v>
      </c>
      <c r="J137" s="14" t="s">
        <v>15</v>
      </c>
      <c r="K137" s="39" t="s">
        <v>393</v>
      </c>
      <c r="L137">
        <v>4065490</v>
      </c>
    </row>
    <row r="138" spans="1:12" ht="15" customHeight="1" x14ac:dyDescent="0.25">
      <c r="A138" s="13">
        <v>46050</v>
      </c>
      <c r="B138" s="14" t="s">
        <v>172</v>
      </c>
      <c r="C138" s="15">
        <v>1</v>
      </c>
      <c r="D138" s="14" t="s">
        <v>13</v>
      </c>
      <c r="E138" s="16">
        <v>21000</v>
      </c>
      <c r="F138" s="16">
        <f t="shared" si="6"/>
        <v>21000</v>
      </c>
      <c r="G138" s="16">
        <f t="shared" si="7"/>
        <v>3990</v>
      </c>
      <c r="H138" s="16">
        <f t="shared" si="8"/>
        <v>24990</v>
      </c>
      <c r="I138" s="14" t="s">
        <v>167</v>
      </c>
      <c r="J138" s="14" t="s">
        <v>15</v>
      </c>
      <c r="K138" s="39" t="s">
        <v>393</v>
      </c>
      <c r="L138">
        <v>4065490</v>
      </c>
    </row>
    <row r="139" spans="1:12" ht="15" customHeight="1" x14ac:dyDescent="0.25">
      <c r="A139" s="13">
        <v>46050</v>
      </c>
      <c r="B139" s="14" t="s">
        <v>173</v>
      </c>
      <c r="C139" s="15">
        <v>4</v>
      </c>
      <c r="D139" s="14" t="s">
        <v>13</v>
      </c>
      <c r="E139" s="16">
        <v>695</v>
      </c>
      <c r="F139" s="16">
        <f t="shared" si="6"/>
        <v>2780</v>
      </c>
      <c r="G139" s="16">
        <f t="shared" si="7"/>
        <v>528.20000000000005</v>
      </c>
      <c r="H139" s="16">
        <f t="shared" si="8"/>
        <v>3308.2</v>
      </c>
      <c r="I139" s="14" t="s">
        <v>167</v>
      </c>
      <c r="J139" s="14" t="s">
        <v>15</v>
      </c>
      <c r="K139" s="39" t="s">
        <v>393</v>
      </c>
      <c r="L139">
        <v>4065490</v>
      </c>
    </row>
    <row r="140" spans="1:12" ht="15" customHeight="1" x14ac:dyDescent="0.25">
      <c r="A140" s="13">
        <v>46050</v>
      </c>
      <c r="B140" s="14" t="s">
        <v>174</v>
      </c>
      <c r="C140" s="15">
        <v>2</v>
      </c>
      <c r="D140" s="14" t="s">
        <v>13</v>
      </c>
      <c r="E140" s="16">
        <v>128</v>
      </c>
      <c r="F140" s="16">
        <f t="shared" si="6"/>
        <v>256</v>
      </c>
      <c r="G140" s="16">
        <f t="shared" si="7"/>
        <v>48.64</v>
      </c>
      <c r="H140" s="16">
        <f t="shared" si="8"/>
        <v>304.64</v>
      </c>
      <c r="I140" s="14" t="s">
        <v>167</v>
      </c>
      <c r="J140" s="14" t="s">
        <v>15</v>
      </c>
      <c r="K140" s="39" t="s">
        <v>393</v>
      </c>
      <c r="L140">
        <v>4065490</v>
      </c>
    </row>
    <row r="141" spans="1:12" ht="15" customHeight="1" x14ac:dyDescent="0.25">
      <c r="A141" s="13">
        <v>46050</v>
      </c>
      <c r="B141" s="14" t="s">
        <v>175</v>
      </c>
      <c r="C141" s="15">
        <v>2</v>
      </c>
      <c r="D141" s="14" t="s">
        <v>13</v>
      </c>
      <c r="E141" s="16">
        <v>128</v>
      </c>
      <c r="F141" s="16">
        <f t="shared" si="6"/>
        <v>256</v>
      </c>
      <c r="G141" s="16">
        <f t="shared" si="7"/>
        <v>48.64</v>
      </c>
      <c r="H141" s="16">
        <f t="shared" si="8"/>
        <v>304.64</v>
      </c>
      <c r="I141" s="14" t="s">
        <v>167</v>
      </c>
      <c r="J141" s="14" t="s">
        <v>15</v>
      </c>
      <c r="K141" s="39" t="s">
        <v>393</v>
      </c>
      <c r="L141">
        <v>4065490</v>
      </c>
    </row>
    <row r="142" spans="1:12" ht="15" customHeight="1" x14ac:dyDescent="0.25">
      <c r="A142" s="13">
        <v>46050</v>
      </c>
      <c r="B142" s="14" t="s">
        <v>176</v>
      </c>
      <c r="C142" s="15">
        <v>20</v>
      </c>
      <c r="D142" s="14" t="s">
        <v>13</v>
      </c>
      <c r="E142" s="16">
        <v>40</v>
      </c>
      <c r="F142" s="16">
        <f t="shared" si="6"/>
        <v>800</v>
      </c>
      <c r="G142" s="16">
        <f t="shared" si="7"/>
        <v>152</v>
      </c>
      <c r="H142" s="16">
        <f t="shared" si="8"/>
        <v>952</v>
      </c>
      <c r="I142" s="14" t="s">
        <v>167</v>
      </c>
      <c r="J142" s="14" t="s">
        <v>15</v>
      </c>
      <c r="K142" s="39" t="s">
        <v>393</v>
      </c>
      <c r="L142">
        <v>4065490</v>
      </c>
    </row>
    <row r="143" spans="1:12" ht="15" customHeight="1" x14ac:dyDescent="0.25">
      <c r="A143" s="13">
        <v>46056</v>
      </c>
      <c r="B143" s="14" t="s">
        <v>177</v>
      </c>
      <c r="C143" s="15">
        <v>1</v>
      </c>
      <c r="D143" s="14" t="s">
        <v>13</v>
      </c>
      <c r="E143" s="16">
        <v>89250</v>
      </c>
      <c r="F143" s="16">
        <f t="shared" si="6"/>
        <v>89250</v>
      </c>
      <c r="G143" s="16">
        <f t="shared" si="7"/>
        <v>16957.5</v>
      </c>
      <c r="H143" s="16">
        <f t="shared" si="8"/>
        <v>106207.5</v>
      </c>
      <c r="I143" s="14" t="s">
        <v>178</v>
      </c>
      <c r="J143" s="14" t="s">
        <v>15</v>
      </c>
      <c r="K143" s="38" t="s">
        <v>394</v>
      </c>
      <c r="L143">
        <v>4065492</v>
      </c>
    </row>
    <row r="144" spans="1:12" ht="15" customHeight="1" x14ac:dyDescent="0.25">
      <c r="A144" s="13">
        <v>46056</v>
      </c>
      <c r="B144" s="14" t="s">
        <v>179</v>
      </c>
      <c r="C144" s="15">
        <v>2</v>
      </c>
      <c r="D144" s="14" t="s">
        <v>13</v>
      </c>
      <c r="E144" s="16">
        <v>18000</v>
      </c>
      <c r="F144" s="16">
        <f t="shared" si="6"/>
        <v>36000</v>
      </c>
      <c r="G144" s="16">
        <f t="shared" si="7"/>
        <v>6840</v>
      </c>
      <c r="H144" s="16">
        <f t="shared" si="8"/>
        <v>42840</v>
      </c>
      <c r="I144" s="14" t="s">
        <v>178</v>
      </c>
      <c r="J144" s="14" t="s">
        <v>15</v>
      </c>
      <c r="K144" s="38" t="s">
        <v>394</v>
      </c>
      <c r="L144">
        <v>4065492</v>
      </c>
    </row>
    <row r="145" spans="1:12" ht="15" customHeight="1" x14ac:dyDescent="0.25">
      <c r="A145" s="13">
        <v>46056</v>
      </c>
      <c r="B145" s="14" t="s">
        <v>180</v>
      </c>
      <c r="C145" s="15">
        <v>1</v>
      </c>
      <c r="D145" s="14" t="s">
        <v>13</v>
      </c>
      <c r="E145" s="16">
        <v>16000</v>
      </c>
      <c r="F145" s="16">
        <f t="shared" si="6"/>
        <v>16000</v>
      </c>
      <c r="G145" s="16">
        <f t="shared" si="7"/>
        <v>3040</v>
      </c>
      <c r="H145" s="16">
        <f t="shared" si="8"/>
        <v>19040</v>
      </c>
      <c r="I145" s="14" t="s">
        <v>178</v>
      </c>
      <c r="J145" s="14" t="s">
        <v>15</v>
      </c>
      <c r="K145" s="38" t="s">
        <v>394</v>
      </c>
      <c r="L145">
        <v>4065492</v>
      </c>
    </row>
    <row r="146" spans="1:12" ht="15" customHeight="1" x14ac:dyDescent="0.25">
      <c r="A146" s="13">
        <v>46056</v>
      </c>
      <c r="B146" s="14" t="s">
        <v>181</v>
      </c>
      <c r="C146" s="15">
        <v>2</v>
      </c>
      <c r="D146" s="14" t="s">
        <v>13</v>
      </c>
      <c r="E146" s="16">
        <v>20000</v>
      </c>
      <c r="F146" s="16">
        <f t="shared" si="6"/>
        <v>40000</v>
      </c>
      <c r="G146" s="16">
        <f t="shared" si="7"/>
        <v>7600</v>
      </c>
      <c r="H146" s="16">
        <f t="shared" si="8"/>
        <v>47600</v>
      </c>
      <c r="I146" s="14" t="s">
        <v>178</v>
      </c>
      <c r="J146" s="14" t="s">
        <v>15</v>
      </c>
      <c r="K146" s="38" t="s">
        <v>394</v>
      </c>
      <c r="L146">
        <v>4065492</v>
      </c>
    </row>
    <row r="147" spans="1:12" ht="15" customHeight="1" x14ac:dyDescent="0.25">
      <c r="A147" s="13">
        <v>46097</v>
      </c>
      <c r="B147" s="14" t="s">
        <v>182</v>
      </c>
      <c r="C147" s="15">
        <v>75</v>
      </c>
      <c r="D147" s="14" t="s">
        <v>13</v>
      </c>
      <c r="E147" s="16">
        <v>33613.449999999997</v>
      </c>
      <c r="F147" s="16">
        <f t="shared" si="6"/>
        <v>2521008.75</v>
      </c>
      <c r="G147" s="16">
        <f t="shared" si="7"/>
        <v>478991.66249999998</v>
      </c>
      <c r="H147" s="16">
        <f t="shared" si="8"/>
        <v>3000000.4125000001</v>
      </c>
      <c r="I147" s="14" t="s">
        <v>61</v>
      </c>
      <c r="J147" s="14" t="s">
        <v>15</v>
      </c>
      <c r="K147" s="17" t="s">
        <v>183</v>
      </c>
      <c r="L147">
        <v>4065411</v>
      </c>
    </row>
    <row r="148" spans="1:12" ht="15" customHeight="1" x14ac:dyDescent="0.25">
      <c r="A148" s="13">
        <v>46097</v>
      </c>
      <c r="B148" s="14" t="s">
        <v>184</v>
      </c>
      <c r="C148" s="15">
        <v>17</v>
      </c>
      <c r="D148" s="14" t="s">
        <v>13</v>
      </c>
      <c r="E148" s="16">
        <v>14109.24</v>
      </c>
      <c r="F148" s="16">
        <f t="shared" si="6"/>
        <v>239857.08</v>
      </c>
      <c r="G148" s="16">
        <f t="shared" si="7"/>
        <v>45572.845199999996</v>
      </c>
      <c r="H148" s="16">
        <f t="shared" si="8"/>
        <v>285429.9252</v>
      </c>
      <c r="I148" s="14" t="s">
        <v>61</v>
      </c>
      <c r="J148" s="14" t="s">
        <v>15</v>
      </c>
      <c r="K148" s="17" t="s">
        <v>183</v>
      </c>
      <c r="L148">
        <v>4065411</v>
      </c>
    </row>
    <row r="149" spans="1:12" ht="15" customHeight="1" x14ac:dyDescent="0.25">
      <c r="A149" s="13">
        <v>46097</v>
      </c>
      <c r="B149" s="14" t="s">
        <v>185</v>
      </c>
      <c r="C149" s="15">
        <v>78</v>
      </c>
      <c r="D149" s="14" t="s">
        <v>13</v>
      </c>
      <c r="E149" s="16">
        <v>17886.55</v>
      </c>
      <c r="F149" s="16">
        <f t="shared" si="6"/>
        <v>1395150.9</v>
      </c>
      <c r="G149" s="16">
        <f t="shared" si="7"/>
        <v>265078.67099999997</v>
      </c>
      <c r="H149" s="16">
        <f t="shared" si="8"/>
        <v>1660229.571</v>
      </c>
      <c r="I149" s="14" t="s">
        <v>61</v>
      </c>
      <c r="J149" s="14" t="s">
        <v>15</v>
      </c>
      <c r="K149" s="17" t="s">
        <v>183</v>
      </c>
      <c r="L149">
        <v>4065411</v>
      </c>
    </row>
    <row r="150" spans="1:12" ht="15" customHeight="1" x14ac:dyDescent="0.25">
      <c r="A150" s="13">
        <v>46097</v>
      </c>
      <c r="B150" s="14" t="s">
        <v>186</v>
      </c>
      <c r="C150" s="15">
        <v>8</v>
      </c>
      <c r="D150" s="14" t="s">
        <v>13</v>
      </c>
      <c r="E150" s="16">
        <v>21163.87</v>
      </c>
      <c r="F150" s="16">
        <f t="shared" si="6"/>
        <v>169310.96</v>
      </c>
      <c r="G150" s="16">
        <f t="shared" si="7"/>
        <v>32169.082399999999</v>
      </c>
      <c r="H150" s="16">
        <f t="shared" si="8"/>
        <v>201480.04239999998</v>
      </c>
      <c r="I150" s="14" t="s">
        <v>61</v>
      </c>
      <c r="J150" s="14" t="s">
        <v>15</v>
      </c>
      <c r="K150" s="17" t="s">
        <v>183</v>
      </c>
      <c r="L150">
        <v>4065411</v>
      </c>
    </row>
    <row r="151" spans="1:12" ht="15" customHeight="1" x14ac:dyDescent="0.25">
      <c r="A151" s="13">
        <v>46097</v>
      </c>
      <c r="B151" s="14" t="s">
        <v>187</v>
      </c>
      <c r="C151" s="15">
        <v>60</v>
      </c>
      <c r="D151" s="14" t="s">
        <v>13</v>
      </c>
      <c r="E151" s="16">
        <v>21547.9</v>
      </c>
      <c r="F151" s="16">
        <f t="shared" si="6"/>
        <v>1292874</v>
      </c>
      <c r="G151" s="16">
        <f t="shared" si="7"/>
        <v>245646.06</v>
      </c>
      <c r="H151" s="16">
        <f t="shared" si="8"/>
        <v>1538520.06</v>
      </c>
      <c r="I151" s="14" t="s">
        <v>61</v>
      </c>
      <c r="J151" s="14" t="s">
        <v>15</v>
      </c>
      <c r="K151" s="17" t="s">
        <v>183</v>
      </c>
      <c r="L151">
        <v>4065411</v>
      </c>
    </row>
    <row r="152" spans="1:12" ht="15" customHeight="1" x14ac:dyDescent="0.25">
      <c r="A152" s="13">
        <v>46097</v>
      </c>
      <c r="B152" s="14" t="s">
        <v>188</v>
      </c>
      <c r="C152" s="15">
        <v>20</v>
      </c>
      <c r="D152" s="14" t="s">
        <v>13</v>
      </c>
      <c r="E152" s="16">
        <v>17766.39</v>
      </c>
      <c r="F152" s="16">
        <f t="shared" si="6"/>
        <v>355327.8</v>
      </c>
      <c r="G152" s="16">
        <f t="shared" si="7"/>
        <v>67512.281999999992</v>
      </c>
      <c r="H152" s="16">
        <f t="shared" si="8"/>
        <v>422840.08199999999</v>
      </c>
      <c r="I152" s="14" t="s">
        <v>61</v>
      </c>
      <c r="J152" s="14" t="s">
        <v>15</v>
      </c>
      <c r="K152" s="17" t="s">
        <v>183</v>
      </c>
      <c r="L152">
        <v>4065411</v>
      </c>
    </row>
    <row r="153" spans="1:12" ht="15" customHeight="1" x14ac:dyDescent="0.25">
      <c r="A153" s="13">
        <v>46098</v>
      </c>
      <c r="B153" s="14" t="s">
        <v>189</v>
      </c>
      <c r="C153" s="15">
        <v>23</v>
      </c>
      <c r="D153" s="14" t="s">
        <v>13</v>
      </c>
      <c r="E153" s="16">
        <v>57630.86</v>
      </c>
      <c r="F153" s="16">
        <f t="shared" si="6"/>
        <v>1325509.78</v>
      </c>
      <c r="G153" s="16">
        <f t="shared" si="7"/>
        <v>251846.85820000002</v>
      </c>
      <c r="H153" s="16">
        <f t="shared" si="8"/>
        <v>1577356.6381999999</v>
      </c>
      <c r="I153" s="14" t="s">
        <v>61</v>
      </c>
      <c r="J153" s="14" t="s">
        <v>15</v>
      </c>
      <c r="K153" s="17" t="s">
        <v>190</v>
      </c>
      <c r="L153" s="17" t="s">
        <v>63</v>
      </c>
    </row>
    <row r="154" spans="1:12" ht="15" customHeight="1" x14ac:dyDescent="0.25">
      <c r="A154" s="13">
        <v>46098</v>
      </c>
      <c r="B154" s="14" t="s">
        <v>191</v>
      </c>
      <c r="C154" s="15">
        <v>7</v>
      </c>
      <c r="D154" s="14" t="s">
        <v>13</v>
      </c>
      <c r="E154" s="16">
        <v>51381.48</v>
      </c>
      <c r="F154" s="16">
        <f t="shared" si="6"/>
        <v>359670.36000000004</v>
      </c>
      <c r="G154" s="16">
        <f t="shared" si="7"/>
        <v>68337.368400000007</v>
      </c>
      <c r="H154" s="16">
        <f t="shared" si="8"/>
        <v>428007.72840000002</v>
      </c>
      <c r="I154" s="14" t="s">
        <v>61</v>
      </c>
      <c r="J154" s="14" t="s">
        <v>15</v>
      </c>
      <c r="K154" s="17" t="s">
        <v>190</v>
      </c>
      <c r="L154" s="17" t="s">
        <v>63</v>
      </c>
    </row>
    <row r="155" spans="1:12" ht="15" customHeight="1" x14ac:dyDescent="0.25">
      <c r="A155" s="13">
        <v>46107</v>
      </c>
      <c r="B155" s="14" t="s">
        <v>192</v>
      </c>
      <c r="C155" s="15">
        <v>2</v>
      </c>
      <c r="D155" s="14" t="s">
        <v>13</v>
      </c>
      <c r="E155" s="16">
        <v>1450</v>
      </c>
      <c r="F155" s="16">
        <f t="shared" si="6"/>
        <v>2900</v>
      </c>
      <c r="G155" s="16">
        <f t="shared" si="7"/>
        <v>551</v>
      </c>
      <c r="H155" s="16">
        <f t="shared" si="8"/>
        <v>3451</v>
      </c>
      <c r="I155" s="14" t="s">
        <v>128</v>
      </c>
      <c r="J155" s="14" t="s">
        <v>15</v>
      </c>
      <c r="K155" t="s">
        <v>381</v>
      </c>
      <c r="L155">
        <v>4065055</v>
      </c>
    </row>
    <row r="156" spans="1:12" ht="15" customHeight="1" x14ac:dyDescent="0.25">
      <c r="A156" s="13">
        <v>46107</v>
      </c>
      <c r="B156" s="14" t="s">
        <v>193</v>
      </c>
      <c r="C156" s="15">
        <v>2</v>
      </c>
      <c r="D156" s="14" t="s">
        <v>13</v>
      </c>
      <c r="E156" s="16">
        <v>850</v>
      </c>
      <c r="F156" s="16">
        <f t="shared" si="6"/>
        <v>1700</v>
      </c>
      <c r="G156" s="16">
        <f t="shared" si="7"/>
        <v>323</v>
      </c>
      <c r="H156" s="16">
        <f t="shared" si="8"/>
        <v>2023</v>
      </c>
      <c r="I156" s="14" t="s">
        <v>128</v>
      </c>
      <c r="J156" s="14" t="s">
        <v>15</v>
      </c>
      <c r="K156" t="s">
        <v>381</v>
      </c>
      <c r="L156">
        <v>4065055</v>
      </c>
    </row>
    <row r="157" spans="1:12" ht="15" customHeight="1" x14ac:dyDescent="0.25">
      <c r="A157" s="13">
        <v>46107</v>
      </c>
      <c r="B157" s="14" t="s">
        <v>194</v>
      </c>
      <c r="C157" s="15">
        <v>35</v>
      </c>
      <c r="D157" s="14" t="s">
        <v>13</v>
      </c>
      <c r="E157" s="16">
        <v>170</v>
      </c>
      <c r="F157" s="16">
        <f t="shared" si="6"/>
        <v>5950</v>
      </c>
      <c r="G157" s="16">
        <f t="shared" si="7"/>
        <v>1130.5</v>
      </c>
      <c r="H157" s="16">
        <f t="shared" si="8"/>
        <v>7080.5</v>
      </c>
      <c r="I157" s="14" t="s">
        <v>128</v>
      </c>
      <c r="J157" s="14" t="s">
        <v>15</v>
      </c>
      <c r="K157" t="s">
        <v>381</v>
      </c>
      <c r="L157">
        <v>4065055</v>
      </c>
    </row>
    <row r="158" spans="1:12" ht="15" customHeight="1" x14ac:dyDescent="0.25">
      <c r="A158" s="13">
        <v>46107</v>
      </c>
      <c r="B158" s="14" t="s">
        <v>195</v>
      </c>
      <c r="C158" s="15">
        <v>6</v>
      </c>
      <c r="D158" s="14" t="s">
        <v>13</v>
      </c>
      <c r="E158" s="16">
        <v>450</v>
      </c>
      <c r="F158" s="16">
        <f t="shared" si="6"/>
        <v>2700</v>
      </c>
      <c r="G158" s="16">
        <f t="shared" si="7"/>
        <v>513</v>
      </c>
      <c r="H158" s="16">
        <f t="shared" si="8"/>
        <v>3213</v>
      </c>
      <c r="I158" s="14" t="s">
        <v>128</v>
      </c>
      <c r="J158" s="14" t="s">
        <v>15</v>
      </c>
      <c r="K158" t="s">
        <v>381</v>
      </c>
      <c r="L158">
        <v>4065055</v>
      </c>
    </row>
    <row r="159" spans="1:12" ht="15" customHeight="1" x14ac:dyDescent="0.25">
      <c r="A159" s="13">
        <v>46107</v>
      </c>
      <c r="B159" s="14" t="s">
        <v>196</v>
      </c>
      <c r="C159" s="15">
        <v>1</v>
      </c>
      <c r="D159" s="14" t="s">
        <v>13</v>
      </c>
      <c r="E159" s="16">
        <v>546</v>
      </c>
      <c r="F159" s="16">
        <f t="shared" si="6"/>
        <v>546</v>
      </c>
      <c r="G159" s="16">
        <f t="shared" si="7"/>
        <v>103.74</v>
      </c>
      <c r="H159" s="16">
        <f t="shared" si="8"/>
        <v>649.74</v>
      </c>
      <c r="I159" s="14" t="s">
        <v>128</v>
      </c>
      <c r="J159" s="14" t="s">
        <v>15</v>
      </c>
      <c r="K159" t="s">
        <v>381</v>
      </c>
      <c r="L159">
        <v>4065055</v>
      </c>
    </row>
    <row r="160" spans="1:12" ht="15" customHeight="1" x14ac:dyDescent="0.25">
      <c r="A160" s="13">
        <v>46107</v>
      </c>
      <c r="B160" s="14" t="s">
        <v>197</v>
      </c>
      <c r="C160" s="15">
        <v>1</v>
      </c>
      <c r="D160" s="14" t="s">
        <v>13</v>
      </c>
      <c r="E160" s="16">
        <v>4200</v>
      </c>
      <c r="F160" s="16">
        <f t="shared" si="6"/>
        <v>4200</v>
      </c>
      <c r="G160" s="16">
        <f t="shared" si="7"/>
        <v>798</v>
      </c>
      <c r="H160" s="16">
        <f t="shared" si="8"/>
        <v>4998</v>
      </c>
      <c r="I160" s="14" t="s">
        <v>128</v>
      </c>
      <c r="J160" s="14" t="s">
        <v>15</v>
      </c>
      <c r="K160" t="s">
        <v>381</v>
      </c>
      <c r="L160">
        <v>4065055</v>
      </c>
    </row>
    <row r="161" spans="1:12" ht="15" customHeight="1" x14ac:dyDescent="0.25">
      <c r="A161" s="13">
        <v>46107</v>
      </c>
      <c r="B161" s="14" t="s">
        <v>198</v>
      </c>
      <c r="C161" s="15">
        <v>6</v>
      </c>
      <c r="D161" s="14" t="s">
        <v>13</v>
      </c>
      <c r="E161" s="16">
        <v>3250</v>
      </c>
      <c r="F161" s="16">
        <f t="shared" si="6"/>
        <v>19500</v>
      </c>
      <c r="G161" s="16">
        <f t="shared" si="7"/>
        <v>3705</v>
      </c>
      <c r="H161" s="16">
        <f t="shared" si="8"/>
        <v>23205</v>
      </c>
      <c r="I161" s="14" t="s">
        <v>128</v>
      </c>
      <c r="J161" s="14" t="s">
        <v>15</v>
      </c>
      <c r="K161" t="s">
        <v>381</v>
      </c>
      <c r="L161">
        <v>4065055</v>
      </c>
    </row>
    <row r="162" spans="1:12" ht="15" customHeight="1" x14ac:dyDescent="0.25">
      <c r="A162" s="13">
        <v>46107</v>
      </c>
      <c r="B162" s="14" t="s">
        <v>199</v>
      </c>
      <c r="C162" s="15">
        <v>1</v>
      </c>
      <c r="D162" s="14" t="s">
        <v>13</v>
      </c>
      <c r="E162" s="16">
        <v>4485</v>
      </c>
      <c r="F162" s="16">
        <f t="shared" si="6"/>
        <v>4485</v>
      </c>
      <c r="G162" s="16">
        <f t="shared" si="7"/>
        <v>852.15</v>
      </c>
      <c r="H162" s="16">
        <f t="shared" si="8"/>
        <v>5337.15</v>
      </c>
      <c r="I162" s="14" t="s">
        <v>128</v>
      </c>
      <c r="J162" s="14" t="s">
        <v>15</v>
      </c>
      <c r="K162" t="s">
        <v>381</v>
      </c>
      <c r="L162">
        <v>4065055</v>
      </c>
    </row>
    <row r="163" spans="1:12" ht="15" customHeight="1" x14ac:dyDescent="0.25">
      <c r="A163" s="13">
        <v>46107</v>
      </c>
      <c r="B163" s="14" t="s">
        <v>200</v>
      </c>
      <c r="C163" s="15">
        <v>4</v>
      </c>
      <c r="D163" s="14" t="s">
        <v>13</v>
      </c>
      <c r="E163" s="16">
        <v>133.69</v>
      </c>
      <c r="F163" s="16">
        <f t="shared" si="6"/>
        <v>534.76</v>
      </c>
      <c r="G163" s="16">
        <f t="shared" si="7"/>
        <v>101.6044</v>
      </c>
      <c r="H163" s="16">
        <f t="shared" si="8"/>
        <v>636.36439999999993</v>
      </c>
      <c r="I163" s="14" t="s">
        <v>128</v>
      </c>
      <c r="J163" s="14" t="s">
        <v>15</v>
      </c>
      <c r="K163" t="s">
        <v>381</v>
      </c>
      <c r="L163">
        <v>4065055</v>
      </c>
    </row>
    <row r="164" spans="1:12" ht="15" customHeight="1" x14ac:dyDescent="0.25">
      <c r="A164" s="13">
        <v>46107</v>
      </c>
      <c r="B164" s="14" t="s">
        <v>201</v>
      </c>
      <c r="C164" s="15">
        <v>12</v>
      </c>
      <c r="D164" s="14" t="s">
        <v>13</v>
      </c>
      <c r="E164" s="16">
        <v>199.2</v>
      </c>
      <c r="F164" s="16">
        <f t="shared" si="6"/>
        <v>2390.3999999999996</v>
      </c>
      <c r="G164" s="16">
        <f t="shared" si="7"/>
        <v>454.17599999999993</v>
      </c>
      <c r="H164" s="16">
        <f t="shared" si="8"/>
        <v>2844.5759999999996</v>
      </c>
      <c r="I164" s="14" t="s">
        <v>128</v>
      </c>
      <c r="J164" s="14" t="s">
        <v>15</v>
      </c>
      <c r="K164" t="s">
        <v>381</v>
      </c>
      <c r="L164">
        <v>4065055</v>
      </c>
    </row>
    <row r="165" spans="1:12" ht="15" customHeight="1" x14ac:dyDescent="0.25">
      <c r="A165" s="13">
        <v>46107</v>
      </c>
      <c r="B165" s="14" t="s">
        <v>202</v>
      </c>
      <c r="C165" s="15">
        <v>28</v>
      </c>
      <c r="D165" s="14" t="s">
        <v>13</v>
      </c>
      <c r="E165" s="16">
        <v>69.98</v>
      </c>
      <c r="F165" s="16">
        <f t="shared" si="6"/>
        <v>1959.44</v>
      </c>
      <c r="G165" s="16">
        <f t="shared" si="7"/>
        <v>372.29360000000003</v>
      </c>
      <c r="H165" s="16">
        <f t="shared" si="8"/>
        <v>2331.7336</v>
      </c>
      <c r="I165" s="14" t="s">
        <v>128</v>
      </c>
      <c r="J165" s="14" t="s">
        <v>15</v>
      </c>
      <c r="K165" t="s">
        <v>381</v>
      </c>
      <c r="L165">
        <v>4065055</v>
      </c>
    </row>
    <row r="166" spans="1:12" ht="15" customHeight="1" x14ac:dyDescent="0.25">
      <c r="A166" s="13">
        <v>46107</v>
      </c>
      <c r="B166" s="14" t="s">
        <v>203</v>
      </c>
      <c r="C166" s="15">
        <v>24</v>
      </c>
      <c r="D166" s="14" t="s">
        <v>13</v>
      </c>
      <c r="E166" s="16">
        <v>441.6</v>
      </c>
      <c r="F166" s="16">
        <f t="shared" si="6"/>
        <v>10598.400000000001</v>
      </c>
      <c r="G166" s="16">
        <f t="shared" si="7"/>
        <v>2013.6960000000004</v>
      </c>
      <c r="H166" s="16">
        <f t="shared" si="8"/>
        <v>12612.096000000001</v>
      </c>
      <c r="I166" s="14" t="s">
        <v>128</v>
      </c>
      <c r="J166" s="14" t="s">
        <v>15</v>
      </c>
      <c r="K166" t="s">
        <v>381</v>
      </c>
      <c r="L166">
        <v>4065055</v>
      </c>
    </row>
    <row r="167" spans="1:12" ht="15" customHeight="1" x14ac:dyDescent="0.25">
      <c r="A167" s="13">
        <v>46107</v>
      </c>
      <c r="B167" s="14" t="s">
        <v>204</v>
      </c>
      <c r="C167" s="15">
        <v>4</v>
      </c>
      <c r="D167" s="14" t="s">
        <v>13</v>
      </c>
      <c r="E167" s="16">
        <v>783.22</v>
      </c>
      <c r="F167" s="16">
        <f t="shared" si="6"/>
        <v>3132.88</v>
      </c>
      <c r="G167" s="16">
        <f t="shared" si="7"/>
        <v>595.24720000000002</v>
      </c>
      <c r="H167" s="16">
        <f t="shared" si="8"/>
        <v>3728.1271999999999</v>
      </c>
      <c r="I167" s="14" t="s">
        <v>128</v>
      </c>
      <c r="J167" s="14" t="s">
        <v>15</v>
      </c>
      <c r="K167" t="s">
        <v>381</v>
      </c>
      <c r="L167">
        <v>4065055</v>
      </c>
    </row>
    <row r="168" spans="1:12" ht="15" customHeight="1" x14ac:dyDescent="0.25">
      <c r="A168" s="13">
        <v>46107</v>
      </c>
      <c r="B168" s="14" t="s">
        <v>205</v>
      </c>
      <c r="C168" s="15">
        <v>4</v>
      </c>
      <c r="D168" s="14" t="s">
        <v>13</v>
      </c>
      <c r="E168" s="16">
        <v>271.04000000000002</v>
      </c>
      <c r="F168" s="16">
        <f t="shared" si="6"/>
        <v>1084.1600000000001</v>
      </c>
      <c r="G168" s="16">
        <f t="shared" si="7"/>
        <v>205.99040000000002</v>
      </c>
      <c r="H168" s="16">
        <f t="shared" si="8"/>
        <v>1290.1504</v>
      </c>
      <c r="I168" s="14" t="s">
        <v>128</v>
      </c>
      <c r="J168" s="14" t="s">
        <v>15</v>
      </c>
      <c r="K168" t="s">
        <v>381</v>
      </c>
      <c r="L168">
        <v>4065055</v>
      </c>
    </row>
    <row r="169" spans="1:12" ht="15" customHeight="1" x14ac:dyDescent="0.25">
      <c r="A169" s="13">
        <v>46107</v>
      </c>
      <c r="B169" s="14" t="s">
        <v>206</v>
      </c>
      <c r="C169" s="15">
        <v>24</v>
      </c>
      <c r="D169" s="14" t="s">
        <v>13</v>
      </c>
      <c r="E169" s="16">
        <v>143.97</v>
      </c>
      <c r="F169" s="16">
        <f t="shared" si="6"/>
        <v>3455.2799999999997</v>
      </c>
      <c r="G169" s="16">
        <f t="shared" si="7"/>
        <v>656.50319999999999</v>
      </c>
      <c r="H169" s="16">
        <f t="shared" si="8"/>
        <v>4111.7831999999999</v>
      </c>
      <c r="I169" s="14" t="s">
        <v>128</v>
      </c>
      <c r="J169" s="14" t="s">
        <v>15</v>
      </c>
      <c r="K169" t="s">
        <v>381</v>
      </c>
      <c r="L169">
        <v>4065055</v>
      </c>
    </row>
    <row r="170" spans="1:12" ht="15" customHeight="1" x14ac:dyDescent="0.25">
      <c r="A170" s="13">
        <v>46107</v>
      </c>
      <c r="B170" s="14" t="s">
        <v>207</v>
      </c>
      <c r="C170" s="15">
        <v>105</v>
      </c>
      <c r="D170" s="14" t="s">
        <v>13</v>
      </c>
      <c r="E170" s="16">
        <v>138</v>
      </c>
      <c r="F170" s="16">
        <f t="shared" si="6"/>
        <v>14490</v>
      </c>
      <c r="G170" s="16">
        <f t="shared" si="7"/>
        <v>2753.1</v>
      </c>
      <c r="H170" s="16">
        <f t="shared" si="8"/>
        <v>17243.099999999999</v>
      </c>
      <c r="I170" s="14" t="s">
        <v>128</v>
      </c>
      <c r="J170" s="14" t="s">
        <v>15</v>
      </c>
      <c r="K170" t="s">
        <v>381</v>
      </c>
      <c r="L170">
        <v>4065055</v>
      </c>
    </row>
    <row r="171" spans="1:12" ht="15" customHeight="1" x14ac:dyDescent="0.25">
      <c r="A171" s="13">
        <v>46107</v>
      </c>
      <c r="B171" s="14" t="s">
        <v>208</v>
      </c>
      <c r="C171" s="15">
        <v>50</v>
      </c>
      <c r="D171" s="14" t="s">
        <v>13</v>
      </c>
      <c r="E171" s="16">
        <v>276</v>
      </c>
      <c r="F171" s="16">
        <f t="shared" si="6"/>
        <v>13800</v>
      </c>
      <c r="G171" s="16">
        <f t="shared" si="7"/>
        <v>2622</v>
      </c>
      <c r="H171" s="16">
        <f t="shared" si="8"/>
        <v>16422</v>
      </c>
      <c r="I171" s="14" t="s">
        <v>128</v>
      </c>
      <c r="J171" s="14" t="s">
        <v>15</v>
      </c>
      <c r="K171" t="s">
        <v>381</v>
      </c>
      <c r="L171">
        <v>4065055</v>
      </c>
    </row>
    <row r="172" spans="1:12" ht="15" customHeight="1" x14ac:dyDescent="0.25">
      <c r="A172" s="13">
        <v>46107</v>
      </c>
      <c r="B172" s="14" t="s">
        <v>209</v>
      </c>
      <c r="C172" s="15">
        <v>50</v>
      </c>
      <c r="D172" s="14" t="s">
        <v>13</v>
      </c>
      <c r="E172" s="16">
        <v>230</v>
      </c>
      <c r="F172" s="16">
        <f t="shared" si="6"/>
        <v>11500</v>
      </c>
      <c r="G172" s="16">
        <f t="shared" si="7"/>
        <v>2185</v>
      </c>
      <c r="H172" s="16">
        <f t="shared" si="8"/>
        <v>13685</v>
      </c>
      <c r="I172" s="14" t="s">
        <v>128</v>
      </c>
      <c r="J172" s="14" t="s">
        <v>15</v>
      </c>
      <c r="K172" t="s">
        <v>381</v>
      </c>
      <c r="L172">
        <v>4065055</v>
      </c>
    </row>
    <row r="173" spans="1:12" ht="15" customHeight="1" x14ac:dyDescent="0.25">
      <c r="A173" s="13">
        <v>46107</v>
      </c>
      <c r="B173" s="14" t="s">
        <v>210</v>
      </c>
      <c r="C173" s="15">
        <v>50</v>
      </c>
      <c r="D173" s="14" t="s">
        <v>13</v>
      </c>
      <c r="E173" s="16">
        <v>180</v>
      </c>
      <c r="F173" s="16">
        <f t="shared" si="6"/>
        <v>9000</v>
      </c>
      <c r="G173" s="16">
        <f t="shared" si="7"/>
        <v>1710</v>
      </c>
      <c r="H173" s="16">
        <f t="shared" si="8"/>
        <v>10710</v>
      </c>
      <c r="I173" s="14" t="s">
        <v>128</v>
      </c>
      <c r="J173" s="14" t="s">
        <v>15</v>
      </c>
      <c r="K173" t="s">
        <v>381</v>
      </c>
      <c r="L173">
        <v>4065055</v>
      </c>
    </row>
    <row r="174" spans="1:12" ht="15" customHeight="1" x14ac:dyDescent="0.25">
      <c r="A174" s="13">
        <v>46110</v>
      </c>
      <c r="B174" s="14" t="s">
        <v>211</v>
      </c>
      <c r="C174" s="15">
        <v>10</v>
      </c>
      <c r="D174" s="14" t="s">
        <v>212</v>
      </c>
      <c r="E174" s="16">
        <v>2882.22</v>
      </c>
      <c r="F174" s="16">
        <f t="shared" si="6"/>
        <v>28822.199999999997</v>
      </c>
      <c r="G174" s="16">
        <f t="shared" si="7"/>
        <v>5476.2179999999998</v>
      </c>
      <c r="H174" s="16">
        <f t="shared" si="8"/>
        <v>34298.417999999998</v>
      </c>
      <c r="I174" s="14" t="s">
        <v>213</v>
      </c>
      <c r="J174" s="14" t="s">
        <v>15</v>
      </c>
      <c r="K174" t="s">
        <v>382</v>
      </c>
      <c r="L174" s="18" t="s">
        <v>63</v>
      </c>
    </row>
    <row r="175" spans="1:12" ht="15" customHeight="1" x14ac:dyDescent="0.25">
      <c r="A175" s="13">
        <v>46110</v>
      </c>
      <c r="B175" s="14" t="s">
        <v>214</v>
      </c>
      <c r="C175" s="15">
        <v>10</v>
      </c>
      <c r="D175" s="14" t="s">
        <v>212</v>
      </c>
      <c r="E175" s="16">
        <v>2882.22</v>
      </c>
      <c r="F175" s="16">
        <f t="shared" si="6"/>
        <v>28822.199999999997</v>
      </c>
      <c r="G175" s="16">
        <f t="shared" si="7"/>
        <v>5476.2179999999998</v>
      </c>
      <c r="H175" s="16">
        <f t="shared" si="8"/>
        <v>34298.417999999998</v>
      </c>
      <c r="I175" s="14" t="s">
        <v>213</v>
      </c>
      <c r="J175" s="14" t="s">
        <v>15</v>
      </c>
      <c r="K175" t="s">
        <v>382</v>
      </c>
      <c r="L175" s="18" t="s">
        <v>63</v>
      </c>
    </row>
    <row r="176" spans="1:12" ht="15" customHeight="1" x14ac:dyDescent="0.25">
      <c r="A176" s="13">
        <v>46110</v>
      </c>
      <c r="B176" s="14" t="s">
        <v>215</v>
      </c>
      <c r="C176" s="15">
        <v>70</v>
      </c>
      <c r="D176" s="14" t="s">
        <v>212</v>
      </c>
      <c r="E176" s="16">
        <v>2882.22</v>
      </c>
      <c r="F176" s="16">
        <f t="shared" si="6"/>
        <v>201755.4</v>
      </c>
      <c r="G176" s="16">
        <f t="shared" si="7"/>
        <v>38333.525999999998</v>
      </c>
      <c r="H176" s="16">
        <f t="shared" si="8"/>
        <v>240088.92599999998</v>
      </c>
      <c r="I176" s="14" t="s">
        <v>213</v>
      </c>
      <c r="J176" s="14" t="s">
        <v>15</v>
      </c>
      <c r="K176" t="s">
        <v>382</v>
      </c>
      <c r="L176" s="18" t="s">
        <v>63</v>
      </c>
    </row>
    <row r="177" spans="1:12" ht="15" customHeight="1" x14ac:dyDescent="0.25">
      <c r="A177" s="13">
        <v>46110</v>
      </c>
      <c r="B177" s="14" t="s">
        <v>216</v>
      </c>
      <c r="C177" s="15">
        <v>10</v>
      </c>
      <c r="D177" s="14" t="s">
        <v>212</v>
      </c>
      <c r="E177" s="16">
        <v>2882.22</v>
      </c>
      <c r="F177" s="16">
        <f t="shared" si="6"/>
        <v>28822.199999999997</v>
      </c>
      <c r="G177" s="16">
        <f t="shared" si="7"/>
        <v>5476.2179999999998</v>
      </c>
      <c r="H177" s="16">
        <f t="shared" si="8"/>
        <v>34298.417999999998</v>
      </c>
      <c r="I177" s="14" t="s">
        <v>213</v>
      </c>
      <c r="J177" s="14" t="s">
        <v>15</v>
      </c>
      <c r="K177" t="s">
        <v>382</v>
      </c>
      <c r="L177" s="18" t="s">
        <v>63</v>
      </c>
    </row>
    <row r="178" spans="1:12" ht="15" customHeight="1" x14ac:dyDescent="0.25">
      <c r="A178" s="13">
        <v>46112</v>
      </c>
      <c r="B178" s="14" t="s">
        <v>56</v>
      </c>
      <c r="C178" s="15">
        <v>34</v>
      </c>
      <c r="D178" s="14" t="s">
        <v>13</v>
      </c>
      <c r="E178" s="16">
        <v>5448</v>
      </c>
      <c r="F178" s="16">
        <f t="shared" si="6"/>
        <v>185232</v>
      </c>
      <c r="G178" s="16">
        <f t="shared" si="7"/>
        <v>35194.080000000002</v>
      </c>
      <c r="H178" s="16">
        <f t="shared" si="8"/>
        <v>220426.08000000002</v>
      </c>
      <c r="I178" s="14" t="s">
        <v>54</v>
      </c>
      <c r="J178" s="14" t="s">
        <v>15</v>
      </c>
      <c r="K178" s="38" t="s">
        <v>395</v>
      </c>
      <c r="L178">
        <v>4065423</v>
      </c>
    </row>
    <row r="179" spans="1:12" ht="15" customHeight="1" x14ac:dyDescent="0.25">
      <c r="A179" s="13">
        <v>46112</v>
      </c>
      <c r="B179" s="14" t="s">
        <v>57</v>
      </c>
      <c r="C179" s="15">
        <v>34</v>
      </c>
      <c r="D179" s="14" t="s">
        <v>13</v>
      </c>
      <c r="E179" s="16">
        <v>1448</v>
      </c>
      <c r="F179" s="16">
        <f t="shared" si="6"/>
        <v>49232</v>
      </c>
      <c r="G179" s="16">
        <f t="shared" si="7"/>
        <v>9354.08</v>
      </c>
      <c r="H179" s="16">
        <f t="shared" si="8"/>
        <v>58586.080000000002</v>
      </c>
      <c r="I179" s="14" t="s">
        <v>54</v>
      </c>
      <c r="J179" s="14" t="s">
        <v>15</v>
      </c>
      <c r="K179" s="38" t="s">
        <v>395</v>
      </c>
      <c r="L179">
        <v>4065423</v>
      </c>
    </row>
    <row r="180" spans="1:12" ht="15" customHeight="1" x14ac:dyDescent="0.25">
      <c r="A180" s="13">
        <v>46112</v>
      </c>
      <c r="B180" s="14" t="s">
        <v>217</v>
      </c>
      <c r="C180" s="15">
        <v>20</v>
      </c>
      <c r="D180" s="14" t="s">
        <v>212</v>
      </c>
      <c r="E180" s="16">
        <v>4621.8500000000004</v>
      </c>
      <c r="F180" s="16">
        <f t="shared" si="6"/>
        <v>92437</v>
      </c>
      <c r="G180" s="16">
        <f t="shared" si="7"/>
        <v>17563.03</v>
      </c>
      <c r="H180" s="16">
        <f t="shared" si="8"/>
        <v>110000.03</v>
      </c>
      <c r="I180" s="14" t="s">
        <v>218</v>
      </c>
      <c r="J180" s="14" t="s">
        <v>15</v>
      </c>
      <c r="K180" s="38" t="s">
        <v>396</v>
      </c>
      <c r="L180">
        <v>4065434</v>
      </c>
    </row>
    <row r="181" spans="1:12" ht="15" customHeight="1" x14ac:dyDescent="0.25">
      <c r="A181" s="13">
        <v>46112</v>
      </c>
      <c r="B181" s="14" t="s">
        <v>219</v>
      </c>
      <c r="C181" s="15">
        <v>5</v>
      </c>
      <c r="D181" s="14" t="s">
        <v>220</v>
      </c>
      <c r="E181" s="16">
        <v>504.2</v>
      </c>
      <c r="F181" s="16">
        <f t="shared" si="6"/>
        <v>2521</v>
      </c>
      <c r="G181" s="16">
        <f t="shared" si="7"/>
        <v>478.99</v>
      </c>
      <c r="H181" s="16">
        <f t="shared" si="8"/>
        <v>2999.99</v>
      </c>
      <c r="I181" s="14" t="s">
        <v>218</v>
      </c>
      <c r="J181" s="14" t="s">
        <v>15</v>
      </c>
      <c r="K181" s="38" t="s">
        <v>396</v>
      </c>
      <c r="L181">
        <v>4065434</v>
      </c>
    </row>
    <row r="182" spans="1:12" ht="15" customHeight="1" x14ac:dyDescent="0.25">
      <c r="A182" s="13">
        <v>46131</v>
      </c>
      <c r="B182" s="14" t="s">
        <v>221</v>
      </c>
      <c r="C182" s="15">
        <v>25</v>
      </c>
      <c r="D182" s="14" t="s">
        <v>13</v>
      </c>
      <c r="E182" s="16">
        <v>4369.75</v>
      </c>
      <c r="F182" s="16">
        <f t="shared" si="6"/>
        <v>109243.75</v>
      </c>
      <c r="G182" s="16">
        <f t="shared" si="7"/>
        <v>20756.3125</v>
      </c>
      <c r="H182" s="16">
        <f t="shared" si="8"/>
        <v>130000.0625</v>
      </c>
      <c r="I182" s="14" t="s">
        <v>101</v>
      </c>
      <c r="J182" s="14" t="s">
        <v>15</v>
      </c>
      <c r="K182" s="17" t="s">
        <v>222</v>
      </c>
      <c r="L182">
        <v>4065058</v>
      </c>
    </row>
    <row r="183" spans="1:12" ht="15" customHeight="1" x14ac:dyDescent="0.25">
      <c r="A183" s="13">
        <v>46131</v>
      </c>
      <c r="B183" s="14" t="s">
        <v>223</v>
      </c>
      <c r="C183" s="15">
        <v>30</v>
      </c>
      <c r="D183" s="14" t="s">
        <v>13</v>
      </c>
      <c r="E183" s="16">
        <v>2201.6799999999998</v>
      </c>
      <c r="F183" s="16">
        <f t="shared" si="6"/>
        <v>66050.399999999994</v>
      </c>
      <c r="G183" s="16">
        <f t="shared" si="7"/>
        <v>12549.575999999999</v>
      </c>
      <c r="H183" s="16">
        <f t="shared" si="8"/>
        <v>78599.975999999995</v>
      </c>
      <c r="I183" s="14" t="s">
        <v>101</v>
      </c>
      <c r="J183" s="14" t="s">
        <v>15</v>
      </c>
      <c r="K183" s="17" t="s">
        <v>222</v>
      </c>
      <c r="L183">
        <v>4065058</v>
      </c>
    </row>
    <row r="184" spans="1:12" ht="15" customHeight="1" x14ac:dyDescent="0.25">
      <c r="A184" s="13">
        <v>46133</v>
      </c>
      <c r="B184" s="14" t="s">
        <v>224</v>
      </c>
      <c r="C184" s="15">
        <v>30.1</v>
      </c>
      <c r="D184" s="14" t="s">
        <v>13</v>
      </c>
      <c r="E184" s="16">
        <v>7089</v>
      </c>
      <c r="F184" s="16">
        <f t="shared" si="6"/>
        <v>213378.90000000002</v>
      </c>
      <c r="G184" s="16">
        <f t="shared" si="7"/>
        <v>40541.991000000002</v>
      </c>
      <c r="H184" s="16">
        <f t="shared" si="8"/>
        <v>253920.89100000003</v>
      </c>
      <c r="I184" s="14" t="s">
        <v>165</v>
      </c>
      <c r="J184" s="14" t="s">
        <v>15</v>
      </c>
      <c r="K184" t="s">
        <v>383</v>
      </c>
      <c r="L184">
        <v>8173840</v>
      </c>
    </row>
    <row r="185" spans="1:12" ht="15" customHeight="1" x14ac:dyDescent="0.25">
      <c r="A185" s="13">
        <v>46133</v>
      </c>
      <c r="B185" s="14" t="s">
        <v>225</v>
      </c>
      <c r="C185" s="15">
        <v>10</v>
      </c>
      <c r="D185" s="14" t="s">
        <v>13</v>
      </c>
      <c r="E185" s="16">
        <v>132</v>
      </c>
      <c r="F185" s="16">
        <f t="shared" si="6"/>
        <v>1320</v>
      </c>
      <c r="G185" s="16">
        <f t="shared" si="7"/>
        <v>250.8</v>
      </c>
      <c r="H185" s="16">
        <f t="shared" si="8"/>
        <v>1570.8</v>
      </c>
      <c r="I185" s="14" t="s">
        <v>167</v>
      </c>
      <c r="J185" s="14" t="s">
        <v>15</v>
      </c>
      <c r="K185" s="38" t="s">
        <v>397</v>
      </c>
      <c r="L185">
        <v>4065069</v>
      </c>
    </row>
    <row r="186" spans="1:12" ht="15" customHeight="1" x14ac:dyDescent="0.25">
      <c r="A186" s="13">
        <v>46133</v>
      </c>
      <c r="B186" s="14" t="s">
        <v>226</v>
      </c>
      <c r="C186" s="15">
        <v>10</v>
      </c>
      <c r="D186" s="14" t="s">
        <v>13</v>
      </c>
      <c r="E186" s="16">
        <v>228</v>
      </c>
      <c r="F186" s="16">
        <f t="shared" si="6"/>
        <v>2280</v>
      </c>
      <c r="G186" s="16">
        <f t="shared" si="7"/>
        <v>433.2</v>
      </c>
      <c r="H186" s="16">
        <f t="shared" si="8"/>
        <v>2713.2</v>
      </c>
      <c r="I186" s="14" t="s">
        <v>167</v>
      </c>
      <c r="J186" s="14" t="s">
        <v>15</v>
      </c>
      <c r="K186" s="38" t="s">
        <v>397</v>
      </c>
      <c r="L186">
        <v>4065069</v>
      </c>
    </row>
    <row r="187" spans="1:12" ht="15" customHeight="1" x14ac:dyDescent="0.25">
      <c r="A187" s="13">
        <v>46133</v>
      </c>
      <c r="B187" s="14" t="s">
        <v>227</v>
      </c>
      <c r="C187" s="15">
        <v>2</v>
      </c>
      <c r="D187" s="14" t="s">
        <v>13</v>
      </c>
      <c r="E187" s="16">
        <v>820</v>
      </c>
      <c r="F187" s="16">
        <f t="shared" si="6"/>
        <v>1640</v>
      </c>
      <c r="G187" s="16">
        <f t="shared" si="7"/>
        <v>311.60000000000002</v>
      </c>
      <c r="H187" s="16">
        <f t="shared" si="8"/>
        <v>1951.6</v>
      </c>
      <c r="I187" s="14" t="s">
        <v>167</v>
      </c>
      <c r="J187" s="14" t="s">
        <v>15</v>
      </c>
      <c r="K187" s="38" t="s">
        <v>397</v>
      </c>
      <c r="L187">
        <v>4065069</v>
      </c>
    </row>
    <row r="188" spans="1:12" ht="15" customHeight="1" x14ac:dyDescent="0.25">
      <c r="A188" s="13">
        <v>46133</v>
      </c>
      <c r="B188" s="14" t="s">
        <v>228</v>
      </c>
      <c r="C188" s="15">
        <v>10</v>
      </c>
      <c r="D188" s="14" t="s">
        <v>13</v>
      </c>
      <c r="E188" s="16">
        <v>148</v>
      </c>
      <c r="F188" s="16">
        <f t="shared" si="6"/>
        <v>1480</v>
      </c>
      <c r="G188" s="16">
        <f t="shared" si="7"/>
        <v>281.2</v>
      </c>
      <c r="H188" s="16">
        <f t="shared" si="8"/>
        <v>1761.2</v>
      </c>
      <c r="I188" s="14" t="s">
        <v>167</v>
      </c>
      <c r="J188" s="14" t="s">
        <v>15</v>
      </c>
      <c r="K188" s="38" t="s">
        <v>397</v>
      </c>
      <c r="L188">
        <v>4065069</v>
      </c>
    </row>
    <row r="189" spans="1:12" ht="15" customHeight="1" x14ac:dyDescent="0.25">
      <c r="A189" s="13">
        <v>46133</v>
      </c>
      <c r="B189" s="14" t="s">
        <v>229</v>
      </c>
      <c r="C189" s="15">
        <v>30</v>
      </c>
      <c r="D189" s="14" t="s">
        <v>13</v>
      </c>
      <c r="E189" s="16">
        <v>118</v>
      </c>
      <c r="F189" s="16">
        <f t="shared" si="6"/>
        <v>3540</v>
      </c>
      <c r="G189" s="16">
        <f t="shared" si="7"/>
        <v>672.6</v>
      </c>
      <c r="H189" s="16">
        <f t="shared" si="8"/>
        <v>4212.6000000000004</v>
      </c>
      <c r="I189" s="14" t="s">
        <v>167</v>
      </c>
      <c r="J189" s="14" t="s">
        <v>15</v>
      </c>
      <c r="K189" s="38" t="s">
        <v>397</v>
      </c>
      <c r="L189">
        <v>4065069</v>
      </c>
    </row>
    <row r="190" spans="1:12" ht="15" customHeight="1" x14ac:dyDescent="0.25">
      <c r="A190" s="13">
        <v>46133</v>
      </c>
      <c r="B190" s="14" t="s">
        <v>230</v>
      </c>
      <c r="C190" s="15">
        <v>12</v>
      </c>
      <c r="D190" s="14" t="s">
        <v>13</v>
      </c>
      <c r="E190" s="16">
        <v>45</v>
      </c>
      <c r="F190" s="16">
        <f t="shared" si="6"/>
        <v>540</v>
      </c>
      <c r="G190" s="16">
        <f t="shared" si="7"/>
        <v>102.6</v>
      </c>
      <c r="H190" s="16">
        <f t="shared" si="8"/>
        <v>642.6</v>
      </c>
      <c r="I190" s="14" t="s">
        <v>167</v>
      </c>
      <c r="J190" s="14" t="s">
        <v>15</v>
      </c>
      <c r="K190" s="38" t="s">
        <v>397</v>
      </c>
      <c r="L190">
        <v>4065069</v>
      </c>
    </row>
    <row r="191" spans="1:12" ht="15" customHeight="1" x14ac:dyDescent="0.25">
      <c r="A191" s="13">
        <v>46133</v>
      </c>
      <c r="B191" s="14" t="s">
        <v>231</v>
      </c>
      <c r="C191" s="15">
        <v>1</v>
      </c>
      <c r="D191" s="14" t="s">
        <v>13</v>
      </c>
      <c r="E191" s="16">
        <v>3350</v>
      </c>
      <c r="F191" s="16">
        <f t="shared" si="6"/>
        <v>3350</v>
      </c>
      <c r="G191" s="16">
        <f t="shared" si="7"/>
        <v>636.5</v>
      </c>
      <c r="H191" s="16">
        <f t="shared" si="8"/>
        <v>3986.5</v>
      </c>
      <c r="I191" s="14" t="s">
        <v>167</v>
      </c>
      <c r="J191" s="14" t="s">
        <v>15</v>
      </c>
      <c r="K191" s="38" t="s">
        <v>397</v>
      </c>
      <c r="L191">
        <v>4065069</v>
      </c>
    </row>
    <row r="192" spans="1:12" ht="15" customHeight="1" x14ac:dyDescent="0.25">
      <c r="A192" s="13">
        <v>46133</v>
      </c>
      <c r="B192" s="14" t="s">
        <v>232</v>
      </c>
      <c r="C192" s="15">
        <v>30</v>
      </c>
      <c r="D192" s="14" t="s">
        <v>13</v>
      </c>
      <c r="E192" s="16">
        <v>432</v>
      </c>
      <c r="F192" s="16">
        <f t="shared" si="6"/>
        <v>12960</v>
      </c>
      <c r="G192" s="16">
        <f t="shared" si="7"/>
        <v>2462.4</v>
      </c>
      <c r="H192" s="16">
        <f t="shared" si="8"/>
        <v>15422.4</v>
      </c>
      <c r="I192" s="14" t="s">
        <v>167</v>
      </c>
      <c r="J192" s="14" t="s">
        <v>15</v>
      </c>
      <c r="K192" s="38" t="s">
        <v>397</v>
      </c>
      <c r="L192">
        <v>4065069</v>
      </c>
    </row>
    <row r="193" spans="1:12" ht="15" customHeight="1" x14ac:dyDescent="0.25">
      <c r="A193" s="13">
        <v>46133</v>
      </c>
      <c r="B193" s="14" t="s">
        <v>233</v>
      </c>
      <c r="C193" s="15">
        <v>12</v>
      </c>
      <c r="D193" s="14" t="s">
        <v>13</v>
      </c>
      <c r="E193" s="16">
        <v>90</v>
      </c>
      <c r="F193" s="16">
        <f t="shared" si="6"/>
        <v>1080</v>
      </c>
      <c r="G193" s="16">
        <f t="shared" si="7"/>
        <v>205.2</v>
      </c>
      <c r="H193" s="16">
        <f t="shared" si="8"/>
        <v>1285.2</v>
      </c>
      <c r="I193" s="14" t="s">
        <v>167</v>
      </c>
      <c r="J193" s="14" t="s">
        <v>15</v>
      </c>
      <c r="K193" s="38" t="s">
        <v>397</v>
      </c>
      <c r="L193">
        <v>4065069</v>
      </c>
    </row>
    <row r="194" spans="1:12" ht="15" customHeight="1" x14ac:dyDescent="0.25">
      <c r="A194" s="13">
        <v>46133</v>
      </c>
      <c r="B194" s="14" t="s">
        <v>234</v>
      </c>
      <c r="C194" s="15">
        <v>2</v>
      </c>
      <c r="D194" s="14" t="s">
        <v>13</v>
      </c>
      <c r="E194" s="16">
        <v>435</v>
      </c>
      <c r="F194" s="16">
        <f t="shared" ref="F194:F246" si="9">C194*E194</f>
        <v>870</v>
      </c>
      <c r="G194" s="16">
        <f t="shared" ref="G194:G246" si="10">F194*0.19</f>
        <v>165.3</v>
      </c>
      <c r="H194" s="16">
        <f t="shared" ref="H194:H246" si="11">F194+G194</f>
        <v>1035.3</v>
      </c>
      <c r="I194" s="14" t="s">
        <v>167</v>
      </c>
      <c r="J194" s="14" t="s">
        <v>15</v>
      </c>
      <c r="K194" s="38" t="s">
        <v>397</v>
      </c>
      <c r="L194">
        <v>4065069</v>
      </c>
    </row>
    <row r="195" spans="1:12" ht="15" customHeight="1" x14ac:dyDescent="0.25">
      <c r="A195" s="13">
        <v>46133</v>
      </c>
      <c r="B195" s="14" t="s">
        <v>235</v>
      </c>
      <c r="C195" s="15">
        <v>120</v>
      </c>
      <c r="D195" s="14" t="s">
        <v>13</v>
      </c>
      <c r="E195" s="16">
        <v>105</v>
      </c>
      <c r="F195" s="16">
        <f t="shared" si="9"/>
        <v>12600</v>
      </c>
      <c r="G195" s="16">
        <f t="shared" si="10"/>
        <v>2394</v>
      </c>
      <c r="H195" s="16">
        <f t="shared" si="11"/>
        <v>14994</v>
      </c>
      <c r="I195" s="14" t="s">
        <v>167</v>
      </c>
      <c r="J195" s="14" t="s">
        <v>15</v>
      </c>
      <c r="K195" s="38" t="s">
        <v>397</v>
      </c>
      <c r="L195">
        <v>4065069</v>
      </c>
    </row>
    <row r="196" spans="1:12" ht="15" customHeight="1" x14ac:dyDescent="0.25">
      <c r="A196" s="13">
        <v>46133</v>
      </c>
      <c r="B196" s="14" t="s">
        <v>236</v>
      </c>
      <c r="C196" s="15">
        <v>120</v>
      </c>
      <c r="D196" s="14" t="s">
        <v>13</v>
      </c>
      <c r="E196" s="16">
        <v>95</v>
      </c>
      <c r="F196" s="16">
        <f t="shared" si="9"/>
        <v>11400</v>
      </c>
      <c r="G196" s="16">
        <f t="shared" si="10"/>
        <v>2166</v>
      </c>
      <c r="H196" s="16">
        <f t="shared" si="11"/>
        <v>13566</v>
      </c>
      <c r="I196" s="14" t="s">
        <v>167</v>
      </c>
      <c r="J196" s="14" t="s">
        <v>15</v>
      </c>
      <c r="K196" s="38" t="s">
        <v>397</v>
      </c>
      <c r="L196">
        <v>4065069</v>
      </c>
    </row>
    <row r="197" spans="1:12" ht="15" customHeight="1" x14ac:dyDescent="0.25">
      <c r="A197" s="13">
        <v>46133</v>
      </c>
      <c r="B197" s="14" t="s">
        <v>237</v>
      </c>
      <c r="C197" s="15">
        <v>20</v>
      </c>
      <c r="D197" s="14" t="s">
        <v>13</v>
      </c>
      <c r="E197" s="16">
        <v>355.1</v>
      </c>
      <c r="F197" s="16">
        <f t="shared" si="9"/>
        <v>7102</v>
      </c>
      <c r="G197" s="16">
        <f t="shared" si="10"/>
        <v>1349.38</v>
      </c>
      <c r="H197" s="16">
        <f t="shared" si="11"/>
        <v>8451.380000000001</v>
      </c>
      <c r="I197" s="14" t="s">
        <v>167</v>
      </c>
      <c r="J197" s="14" t="s">
        <v>15</v>
      </c>
      <c r="K197" s="38" t="s">
        <v>397</v>
      </c>
      <c r="L197">
        <v>4065069</v>
      </c>
    </row>
    <row r="198" spans="1:12" ht="15" customHeight="1" x14ac:dyDescent="0.25">
      <c r="A198" s="13">
        <v>46133</v>
      </c>
      <c r="B198" s="14" t="s">
        <v>238</v>
      </c>
      <c r="C198" s="15">
        <v>40</v>
      </c>
      <c r="D198" s="14" t="s">
        <v>13</v>
      </c>
      <c r="E198" s="16">
        <v>984.5</v>
      </c>
      <c r="F198" s="16">
        <f t="shared" si="9"/>
        <v>39380</v>
      </c>
      <c r="G198" s="16">
        <f t="shared" si="10"/>
        <v>7482.2</v>
      </c>
      <c r="H198" s="16">
        <f t="shared" si="11"/>
        <v>46862.2</v>
      </c>
      <c r="I198" s="14" t="s">
        <v>167</v>
      </c>
      <c r="J198" s="14" t="s">
        <v>15</v>
      </c>
      <c r="K198" s="38" t="s">
        <v>397</v>
      </c>
      <c r="L198">
        <v>4065069</v>
      </c>
    </row>
    <row r="199" spans="1:12" ht="15" customHeight="1" x14ac:dyDescent="0.25">
      <c r="A199" s="13">
        <v>46133</v>
      </c>
      <c r="B199" s="14" t="s">
        <v>239</v>
      </c>
      <c r="C199" s="15">
        <v>5</v>
      </c>
      <c r="D199" s="14" t="s">
        <v>13</v>
      </c>
      <c r="E199" s="16">
        <v>288</v>
      </c>
      <c r="F199" s="16">
        <f t="shared" si="9"/>
        <v>1440</v>
      </c>
      <c r="G199" s="16">
        <f t="shared" si="10"/>
        <v>273.60000000000002</v>
      </c>
      <c r="H199" s="16">
        <f t="shared" si="11"/>
        <v>1713.6</v>
      </c>
      <c r="I199" s="14" t="s">
        <v>167</v>
      </c>
      <c r="J199" s="14" t="s">
        <v>15</v>
      </c>
      <c r="K199" s="38" t="s">
        <v>397</v>
      </c>
      <c r="L199">
        <v>4065069</v>
      </c>
    </row>
    <row r="200" spans="1:12" ht="15" customHeight="1" x14ac:dyDescent="0.25">
      <c r="A200" s="13">
        <v>46133</v>
      </c>
      <c r="B200" s="14" t="s">
        <v>240</v>
      </c>
      <c r="C200" s="15">
        <v>1</v>
      </c>
      <c r="D200" s="14" t="s">
        <v>13</v>
      </c>
      <c r="E200" s="16">
        <v>650</v>
      </c>
      <c r="F200" s="16">
        <f t="shared" si="9"/>
        <v>650</v>
      </c>
      <c r="G200" s="16">
        <f t="shared" si="10"/>
        <v>123.5</v>
      </c>
      <c r="H200" s="16">
        <f t="shared" si="11"/>
        <v>773.5</v>
      </c>
      <c r="I200" s="14" t="s">
        <v>167</v>
      </c>
      <c r="J200" s="14" t="s">
        <v>15</v>
      </c>
      <c r="K200" s="38" t="s">
        <v>397</v>
      </c>
      <c r="L200">
        <v>4065069</v>
      </c>
    </row>
    <row r="201" spans="1:12" ht="15" customHeight="1" x14ac:dyDescent="0.25">
      <c r="A201" s="13">
        <v>46133</v>
      </c>
      <c r="B201" s="14" t="s">
        <v>241</v>
      </c>
      <c r="C201" s="15">
        <v>36</v>
      </c>
      <c r="D201" s="14" t="s">
        <v>13</v>
      </c>
      <c r="E201" s="16">
        <v>34</v>
      </c>
      <c r="F201" s="16">
        <f t="shared" si="9"/>
        <v>1224</v>
      </c>
      <c r="G201" s="16">
        <f t="shared" si="10"/>
        <v>232.56</v>
      </c>
      <c r="H201" s="16">
        <f t="shared" si="11"/>
        <v>1456.56</v>
      </c>
      <c r="I201" s="14" t="s">
        <v>167</v>
      </c>
      <c r="J201" s="14" t="s">
        <v>15</v>
      </c>
      <c r="K201" s="38" t="s">
        <v>397</v>
      </c>
      <c r="L201">
        <v>4065069</v>
      </c>
    </row>
    <row r="202" spans="1:12" ht="15" customHeight="1" x14ac:dyDescent="0.25">
      <c r="A202" s="13">
        <v>46133</v>
      </c>
      <c r="B202" s="14" t="s">
        <v>242</v>
      </c>
      <c r="C202" s="15">
        <v>1</v>
      </c>
      <c r="D202" s="14" t="s">
        <v>13</v>
      </c>
      <c r="E202" s="16">
        <v>980</v>
      </c>
      <c r="F202" s="16">
        <f t="shared" si="9"/>
        <v>980</v>
      </c>
      <c r="G202" s="16">
        <f t="shared" si="10"/>
        <v>186.2</v>
      </c>
      <c r="H202" s="16">
        <f t="shared" si="11"/>
        <v>1166.2</v>
      </c>
      <c r="I202" s="14" t="s">
        <v>167</v>
      </c>
      <c r="J202" s="14" t="s">
        <v>15</v>
      </c>
      <c r="K202" s="38" t="s">
        <v>397</v>
      </c>
      <c r="L202">
        <v>4065069</v>
      </c>
    </row>
    <row r="203" spans="1:12" ht="15" customHeight="1" x14ac:dyDescent="0.25">
      <c r="A203" s="13">
        <v>46133</v>
      </c>
      <c r="B203" s="14" t="s">
        <v>243</v>
      </c>
      <c r="C203" s="15">
        <v>350</v>
      </c>
      <c r="D203" s="14" t="s">
        <v>13</v>
      </c>
      <c r="E203" s="16">
        <v>20</v>
      </c>
      <c r="F203" s="16">
        <f t="shared" si="9"/>
        <v>7000</v>
      </c>
      <c r="G203" s="16">
        <f t="shared" si="10"/>
        <v>1330</v>
      </c>
      <c r="H203" s="16">
        <f t="shared" si="11"/>
        <v>8330</v>
      </c>
      <c r="I203" s="14" t="s">
        <v>128</v>
      </c>
      <c r="J203" s="14" t="s">
        <v>15</v>
      </c>
      <c r="K203" t="s">
        <v>384</v>
      </c>
      <c r="L203">
        <v>4065068</v>
      </c>
    </row>
    <row r="204" spans="1:12" ht="15" customHeight="1" x14ac:dyDescent="0.25">
      <c r="A204" s="13">
        <v>46133</v>
      </c>
      <c r="B204" s="14" t="s">
        <v>244</v>
      </c>
      <c r="C204" s="15">
        <v>300</v>
      </c>
      <c r="D204" s="14" t="s">
        <v>13</v>
      </c>
      <c r="E204" s="16">
        <v>20</v>
      </c>
      <c r="F204" s="16">
        <f t="shared" si="9"/>
        <v>6000</v>
      </c>
      <c r="G204" s="16">
        <f t="shared" si="10"/>
        <v>1140</v>
      </c>
      <c r="H204" s="16">
        <f t="shared" si="11"/>
        <v>7140</v>
      </c>
      <c r="I204" s="14" t="s">
        <v>128</v>
      </c>
      <c r="J204" s="14" t="s">
        <v>15</v>
      </c>
      <c r="K204" t="s">
        <v>384</v>
      </c>
      <c r="L204">
        <v>4065068</v>
      </c>
    </row>
    <row r="205" spans="1:12" ht="15" customHeight="1" x14ac:dyDescent="0.25">
      <c r="A205" s="13">
        <v>46133</v>
      </c>
      <c r="B205" s="14" t="s">
        <v>245</v>
      </c>
      <c r="C205" s="15">
        <v>50</v>
      </c>
      <c r="D205" s="14" t="s">
        <v>13</v>
      </c>
      <c r="E205" s="16">
        <v>85</v>
      </c>
      <c r="F205" s="16">
        <f t="shared" si="9"/>
        <v>4250</v>
      </c>
      <c r="G205" s="16">
        <f t="shared" si="10"/>
        <v>807.5</v>
      </c>
      <c r="H205" s="16">
        <f t="shared" si="11"/>
        <v>5057.5</v>
      </c>
      <c r="I205" s="14" t="s">
        <v>128</v>
      </c>
      <c r="J205" s="14" t="s">
        <v>15</v>
      </c>
      <c r="K205" t="s">
        <v>384</v>
      </c>
      <c r="L205">
        <v>4065068</v>
      </c>
    </row>
    <row r="206" spans="1:12" ht="15" customHeight="1" x14ac:dyDescent="0.25">
      <c r="A206" s="13">
        <v>46133</v>
      </c>
      <c r="B206" s="14" t="s">
        <v>246</v>
      </c>
      <c r="C206" s="15">
        <v>30</v>
      </c>
      <c r="D206" s="14" t="s">
        <v>13</v>
      </c>
      <c r="E206" s="16">
        <v>155</v>
      </c>
      <c r="F206" s="16">
        <f t="shared" si="9"/>
        <v>4650</v>
      </c>
      <c r="G206" s="16">
        <f t="shared" si="10"/>
        <v>883.5</v>
      </c>
      <c r="H206" s="16">
        <f t="shared" si="11"/>
        <v>5533.5</v>
      </c>
      <c r="I206" s="14" t="s">
        <v>128</v>
      </c>
      <c r="J206" s="14" t="s">
        <v>15</v>
      </c>
      <c r="K206" t="s">
        <v>384</v>
      </c>
      <c r="L206">
        <v>4065068</v>
      </c>
    </row>
    <row r="207" spans="1:12" ht="15" customHeight="1" x14ac:dyDescent="0.25">
      <c r="A207" s="13">
        <v>46133</v>
      </c>
      <c r="B207" s="14" t="s">
        <v>247</v>
      </c>
      <c r="C207" s="15">
        <v>1</v>
      </c>
      <c r="D207" s="14" t="s">
        <v>13</v>
      </c>
      <c r="E207" s="16">
        <v>1950</v>
      </c>
      <c r="F207" s="16">
        <f t="shared" si="9"/>
        <v>1950</v>
      </c>
      <c r="G207" s="16">
        <f t="shared" si="10"/>
        <v>370.5</v>
      </c>
      <c r="H207" s="16">
        <f t="shared" si="11"/>
        <v>2320.5</v>
      </c>
      <c r="I207" s="14" t="s">
        <v>128</v>
      </c>
      <c r="J207" s="14" t="s">
        <v>15</v>
      </c>
      <c r="K207" t="s">
        <v>384</v>
      </c>
      <c r="L207">
        <v>4065068</v>
      </c>
    </row>
    <row r="208" spans="1:12" ht="15" customHeight="1" x14ac:dyDescent="0.25">
      <c r="A208" s="13">
        <v>46133</v>
      </c>
      <c r="B208" s="14" t="s">
        <v>248</v>
      </c>
      <c r="C208" s="15">
        <v>2</v>
      </c>
      <c r="D208" s="14" t="s">
        <v>13</v>
      </c>
      <c r="E208" s="16">
        <v>1750</v>
      </c>
      <c r="F208" s="16">
        <f t="shared" si="9"/>
        <v>3500</v>
      </c>
      <c r="G208" s="16">
        <f t="shared" si="10"/>
        <v>665</v>
      </c>
      <c r="H208" s="16">
        <f t="shared" si="11"/>
        <v>4165</v>
      </c>
      <c r="I208" s="14" t="s">
        <v>128</v>
      </c>
      <c r="J208" s="14" t="s">
        <v>15</v>
      </c>
      <c r="K208" t="s">
        <v>384</v>
      </c>
      <c r="L208">
        <v>4065068</v>
      </c>
    </row>
    <row r="209" spans="1:12" ht="15" customHeight="1" x14ac:dyDescent="0.25">
      <c r="A209" s="13">
        <v>46133</v>
      </c>
      <c r="B209" s="14" t="s">
        <v>249</v>
      </c>
      <c r="C209" s="15">
        <v>2</v>
      </c>
      <c r="D209" s="14" t="s">
        <v>13</v>
      </c>
      <c r="E209" s="16">
        <v>499.87</v>
      </c>
      <c r="F209" s="16">
        <f t="shared" si="9"/>
        <v>999.74</v>
      </c>
      <c r="G209" s="16">
        <f t="shared" si="10"/>
        <v>189.95060000000001</v>
      </c>
      <c r="H209" s="16">
        <f t="shared" si="11"/>
        <v>1189.6905999999999</v>
      </c>
      <c r="I209" s="14" t="s">
        <v>128</v>
      </c>
      <c r="J209" s="14" t="s">
        <v>15</v>
      </c>
      <c r="K209" t="s">
        <v>384</v>
      </c>
      <c r="L209">
        <v>4065068</v>
      </c>
    </row>
    <row r="210" spans="1:12" ht="15" customHeight="1" x14ac:dyDescent="0.25">
      <c r="A210" s="13">
        <v>46133</v>
      </c>
      <c r="B210" s="14" t="s">
        <v>250</v>
      </c>
      <c r="C210" s="15">
        <v>450</v>
      </c>
      <c r="D210" s="14" t="s">
        <v>13</v>
      </c>
      <c r="E210" s="16">
        <v>9</v>
      </c>
      <c r="F210" s="16">
        <f t="shared" si="9"/>
        <v>4050</v>
      </c>
      <c r="G210" s="16">
        <f t="shared" si="10"/>
        <v>769.5</v>
      </c>
      <c r="H210" s="16">
        <f t="shared" si="11"/>
        <v>4819.5</v>
      </c>
      <c r="I210" s="14" t="s">
        <v>128</v>
      </c>
      <c r="J210" s="14" t="s">
        <v>15</v>
      </c>
      <c r="K210" t="s">
        <v>384</v>
      </c>
      <c r="L210">
        <v>4065068</v>
      </c>
    </row>
    <row r="211" spans="1:12" s="31" customFormat="1" ht="15" customHeight="1" x14ac:dyDescent="0.25">
      <c r="A211" s="46">
        <v>46133</v>
      </c>
      <c r="B211" s="47" t="s">
        <v>251</v>
      </c>
      <c r="C211" s="48">
        <v>180</v>
      </c>
      <c r="D211" s="47" t="s">
        <v>130</v>
      </c>
      <c r="E211" s="49">
        <v>4621.8500000000004</v>
      </c>
      <c r="F211" s="49">
        <f t="shared" si="9"/>
        <v>831933.00000000012</v>
      </c>
      <c r="G211" s="49">
        <f t="shared" si="10"/>
        <v>158067.27000000002</v>
      </c>
      <c r="H211" s="49">
        <f t="shared" si="11"/>
        <v>990000.27000000014</v>
      </c>
      <c r="I211" s="47" t="s">
        <v>218</v>
      </c>
      <c r="J211" s="47" t="s">
        <v>15</v>
      </c>
      <c r="K211" s="50" t="s">
        <v>421</v>
      </c>
      <c r="L211" s="31">
        <v>4065056</v>
      </c>
    </row>
    <row r="212" spans="1:12" ht="15" customHeight="1" x14ac:dyDescent="0.25">
      <c r="A212" s="13">
        <v>46156</v>
      </c>
      <c r="B212" s="14" t="s">
        <v>217</v>
      </c>
      <c r="C212" s="15">
        <v>180</v>
      </c>
      <c r="D212" s="14" t="s">
        <v>212</v>
      </c>
      <c r="E212" s="16">
        <v>4621.8500000000004</v>
      </c>
      <c r="F212" s="16">
        <f t="shared" si="9"/>
        <v>831933.00000000012</v>
      </c>
      <c r="G212" s="16">
        <f t="shared" si="10"/>
        <v>158067.27000000002</v>
      </c>
      <c r="H212" s="16">
        <f t="shared" si="11"/>
        <v>990000.27000000014</v>
      </c>
      <c r="I212" s="14" t="s">
        <v>218</v>
      </c>
      <c r="J212" s="14" t="s">
        <v>15</v>
      </c>
      <c r="K212" s="38" t="s">
        <v>398</v>
      </c>
      <c r="L212">
        <v>4065056</v>
      </c>
    </row>
    <row r="213" spans="1:12" ht="15" customHeight="1" x14ac:dyDescent="0.25">
      <c r="A213" s="13">
        <v>46156</v>
      </c>
      <c r="B213" s="14" t="s">
        <v>252</v>
      </c>
      <c r="C213" s="15">
        <v>180</v>
      </c>
      <c r="D213" s="14" t="s">
        <v>13</v>
      </c>
      <c r="E213" s="16">
        <v>4621.8500000000004</v>
      </c>
      <c r="F213" s="16">
        <f t="shared" si="9"/>
        <v>831933.00000000012</v>
      </c>
      <c r="G213" s="16">
        <f t="shared" si="10"/>
        <v>158067.27000000002</v>
      </c>
      <c r="H213" s="16">
        <f t="shared" si="11"/>
        <v>990000.27000000014</v>
      </c>
      <c r="I213" s="14" t="s">
        <v>218</v>
      </c>
      <c r="J213" s="14" t="s">
        <v>15</v>
      </c>
      <c r="K213" s="38" t="s">
        <v>421</v>
      </c>
      <c r="L213">
        <v>4065056</v>
      </c>
    </row>
    <row r="214" spans="1:12" ht="15" customHeight="1" x14ac:dyDescent="0.25">
      <c r="A214" s="13">
        <v>46180</v>
      </c>
      <c r="B214" s="14" t="s">
        <v>253</v>
      </c>
      <c r="C214" s="15">
        <v>20</v>
      </c>
      <c r="D214" s="14" t="s">
        <v>130</v>
      </c>
      <c r="E214" s="16">
        <v>420.17</v>
      </c>
      <c r="F214" s="16">
        <f t="shared" si="9"/>
        <v>8403.4</v>
      </c>
      <c r="G214" s="16">
        <f t="shared" si="10"/>
        <v>1596.646</v>
      </c>
      <c r="H214" s="16">
        <f t="shared" si="11"/>
        <v>10000.046</v>
      </c>
      <c r="I214" s="14" t="s">
        <v>254</v>
      </c>
      <c r="J214" s="14" t="s">
        <v>15</v>
      </c>
      <c r="K214" s="17" t="s">
        <v>255</v>
      </c>
      <c r="L214">
        <v>4065116</v>
      </c>
    </row>
    <row r="215" spans="1:12" ht="15" customHeight="1" x14ac:dyDescent="0.25">
      <c r="A215" s="13">
        <v>46180</v>
      </c>
      <c r="B215" s="14" t="s">
        <v>256</v>
      </c>
      <c r="C215" s="15">
        <v>126</v>
      </c>
      <c r="D215" s="14" t="s">
        <v>257</v>
      </c>
      <c r="E215" s="16">
        <v>2394.96</v>
      </c>
      <c r="F215" s="16">
        <f t="shared" si="9"/>
        <v>301764.96000000002</v>
      </c>
      <c r="G215" s="16">
        <f t="shared" si="10"/>
        <v>57335.342400000001</v>
      </c>
      <c r="H215" s="16">
        <f t="shared" si="11"/>
        <v>359100.30240000004</v>
      </c>
      <c r="I215" s="14" t="s">
        <v>254</v>
      </c>
      <c r="J215" s="14" t="s">
        <v>15</v>
      </c>
      <c r="K215" s="17" t="s">
        <v>255</v>
      </c>
      <c r="L215">
        <v>4065116</v>
      </c>
    </row>
    <row r="216" spans="1:12" ht="15" customHeight="1" x14ac:dyDescent="0.25">
      <c r="A216" s="13">
        <v>46182</v>
      </c>
      <c r="B216" s="14" t="s">
        <v>258</v>
      </c>
      <c r="C216" s="15">
        <v>400</v>
      </c>
      <c r="D216" s="14" t="s">
        <v>100</v>
      </c>
      <c r="E216" s="16">
        <v>525</v>
      </c>
      <c r="F216" s="16">
        <f t="shared" si="9"/>
        <v>210000</v>
      </c>
      <c r="G216" s="16">
        <f t="shared" si="10"/>
        <v>39900</v>
      </c>
      <c r="H216" s="16">
        <f t="shared" si="11"/>
        <v>249900</v>
      </c>
      <c r="I216" s="14" t="s">
        <v>259</v>
      </c>
      <c r="J216" s="14" t="s">
        <v>15</v>
      </c>
      <c r="K216" t="s">
        <v>385</v>
      </c>
      <c r="L216">
        <v>4065117</v>
      </c>
    </row>
    <row r="217" spans="1:12" ht="15" customHeight="1" x14ac:dyDescent="0.25">
      <c r="A217" s="13">
        <v>46195</v>
      </c>
      <c r="B217" s="14" t="s">
        <v>260</v>
      </c>
      <c r="C217" s="15">
        <v>17</v>
      </c>
      <c r="D217" s="14" t="s">
        <v>261</v>
      </c>
      <c r="E217" s="16">
        <v>11340</v>
      </c>
      <c r="F217" s="16">
        <f t="shared" si="9"/>
        <v>192780</v>
      </c>
      <c r="G217" s="16">
        <f t="shared" si="10"/>
        <v>36628.199999999997</v>
      </c>
      <c r="H217" s="16">
        <f t="shared" si="11"/>
        <v>229408.2</v>
      </c>
      <c r="I217" s="14" t="s">
        <v>128</v>
      </c>
      <c r="J217" s="14" t="s">
        <v>15</v>
      </c>
      <c r="K217" t="s">
        <v>386</v>
      </c>
      <c r="L217">
        <v>4065140</v>
      </c>
    </row>
    <row r="218" spans="1:12" ht="15" customHeight="1" x14ac:dyDescent="0.25">
      <c r="A218" s="13">
        <v>46195</v>
      </c>
      <c r="B218" s="14" t="s">
        <v>262</v>
      </c>
      <c r="C218" s="15">
        <v>20</v>
      </c>
      <c r="D218" s="14" t="s">
        <v>261</v>
      </c>
      <c r="E218" s="16">
        <v>8800</v>
      </c>
      <c r="F218" s="16">
        <f t="shared" si="9"/>
        <v>176000</v>
      </c>
      <c r="G218" s="16">
        <f t="shared" si="10"/>
        <v>33440</v>
      </c>
      <c r="H218" s="16">
        <f t="shared" si="11"/>
        <v>209440</v>
      </c>
      <c r="I218" s="14" t="s">
        <v>128</v>
      </c>
      <c r="J218" s="14" t="s">
        <v>15</v>
      </c>
      <c r="K218" t="s">
        <v>386</v>
      </c>
      <c r="L218">
        <v>4065140</v>
      </c>
    </row>
    <row r="219" spans="1:12" ht="15" customHeight="1" x14ac:dyDescent="0.25">
      <c r="A219" s="13">
        <v>46195</v>
      </c>
      <c r="B219" s="14" t="s">
        <v>263</v>
      </c>
      <c r="C219" s="15">
        <v>20</v>
      </c>
      <c r="D219" s="14" t="s">
        <v>261</v>
      </c>
      <c r="E219" s="16">
        <v>7900</v>
      </c>
      <c r="F219" s="16">
        <f t="shared" si="9"/>
        <v>158000</v>
      </c>
      <c r="G219" s="16">
        <f t="shared" si="10"/>
        <v>30020</v>
      </c>
      <c r="H219" s="16">
        <f t="shared" si="11"/>
        <v>188020</v>
      </c>
      <c r="I219" s="14" t="s">
        <v>128</v>
      </c>
      <c r="J219" s="14" t="s">
        <v>15</v>
      </c>
      <c r="K219" t="s">
        <v>386</v>
      </c>
      <c r="L219">
        <v>4065140</v>
      </c>
    </row>
    <row r="220" spans="1:12" ht="15" customHeight="1" x14ac:dyDescent="0.25">
      <c r="A220" s="13">
        <v>46214</v>
      </c>
      <c r="B220" s="14" t="s">
        <v>264</v>
      </c>
      <c r="C220" s="15">
        <v>1</v>
      </c>
      <c r="D220" s="14" t="s">
        <v>100</v>
      </c>
      <c r="E220" s="16">
        <v>348000</v>
      </c>
      <c r="F220" s="16">
        <f t="shared" si="9"/>
        <v>348000</v>
      </c>
      <c r="G220" s="16">
        <f t="shared" si="10"/>
        <v>66120</v>
      </c>
      <c r="H220" s="16">
        <f t="shared" si="11"/>
        <v>414120</v>
      </c>
      <c r="I220" s="14" t="s">
        <v>178</v>
      </c>
      <c r="J220" s="14" t="s">
        <v>15</v>
      </c>
      <c r="K220" s="17" t="s">
        <v>265</v>
      </c>
      <c r="L220">
        <v>4065175</v>
      </c>
    </row>
    <row r="221" spans="1:12" ht="15" customHeight="1" x14ac:dyDescent="0.25">
      <c r="A221" s="13">
        <v>46214</v>
      </c>
      <c r="B221" s="14" t="s">
        <v>266</v>
      </c>
      <c r="C221" s="15">
        <v>1</v>
      </c>
      <c r="D221" s="14" t="s">
        <v>100</v>
      </c>
      <c r="E221" s="16">
        <v>680</v>
      </c>
      <c r="F221" s="16">
        <f t="shared" si="9"/>
        <v>680</v>
      </c>
      <c r="G221" s="16">
        <f t="shared" si="10"/>
        <v>129.19999999999999</v>
      </c>
      <c r="H221" s="16">
        <f t="shared" si="11"/>
        <v>809.2</v>
      </c>
      <c r="I221" s="14" t="s">
        <v>178</v>
      </c>
      <c r="J221" s="14" t="s">
        <v>15</v>
      </c>
      <c r="K221" s="17" t="s">
        <v>265</v>
      </c>
      <c r="L221">
        <v>4065175</v>
      </c>
    </row>
    <row r="222" spans="1:12" ht="15" customHeight="1" x14ac:dyDescent="0.25">
      <c r="A222" s="13">
        <v>46173</v>
      </c>
      <c r="B222" s="14" t="s">
        <v>267</v>
      </c>
      <c r="C222" s="15">
        <v>2</v>
      </c>
      <c r="D222" s="14" t="s">
        <v>100</v>
      </c>
      <c r="E222" s="16">
        <v>4033.613445</v>
      </c>
      <c r="F222" s="16">
        <f t="shared" si="9"/>
        <v>8067.2268899999999</v>
      </c>
      <c r="G222" s="16">
        <f t="shared" si="10"/>
        <v>1532.7731091000001</v>
      </c>
      <c r="H222" s="16">
        <f t="shared" si="11"/>
        <v>9599.9999991000004</v>
      </c>
      <c r="I222" s="14" t="s">
        <v>167</v>
      </c>
      <c r="J222" s="14" t="s">
        <v>15</v>
      </c>
      <c r="K222" s="17" t="s">
        <v>268</v>
      </c>
      <c r="L222">
        <v>4065162</v>
      </c>
    </row>
    <row r="223" spans="1:12" ht="15" customHeight="1" x14ac:dyDescent="0.25">
      <c r="A223" s="13">
        <v>46173</v>
      </c>
      <c r="B223" s="14" t="s">
        <v>269</v>
      </c>
      <c r="C223" s="15">
        <v>18</v>
      </c>
      <c r="D223" s="14" t="s">
        <v>100</v>
      </c>
      <c r="E223" s="16">
        <v>388.23529400000001</v>
      </c>
      <c r="F223" s="16">
        <f t="shared" si="9"/>
        <v>6988.2352920000003</v>
      </c>
      <c r="G223" s="16">
        <f t="shared" si="10"/>
        <v>1327.76470548</v>
      </c>
      <c r="H223" s="16">
        <f t="shared" si="11"/>
        <v>8315.9999974800012</v>
      </c>
      <c r="I223" s="14" t="s">
        <v>167</v>
      </c>
      <c r="J223" s="14" t="s">
        <v>15</v>
      </c>
      <c r="K223" s="17" t="s">
        <v>268</v>
      </c>
      <c r="L223">
        <v>4065162</v>
      </c>
    </row>
    <row r="224" spans="1:12" ht="15" customHeight="1" x14ac:dyDescent="0.25">
      <c r="A224" s="13">
        <v>46173</v>
      </c>
      <c r="B224" s="14" t="s">
        <v>270</v>
      </c>
      <c r="C224" s="15">
        <v>20</v>
      </c>
      <c r="D224" s="14" t="s">
        <v>100</v>
      </c>
      <c r="E224" s="16">
        <v>84.033613000000003</v>
      </c>
      <c r="F224" s="16">
        <f t="shared" si="9"/>
        <v>1680.6722600000001</v>
      </c>
      <c r="G224" s="16">
        <f t="shared" si="10"/>
        <v>319.32772940000001</v>
      </c>
      <c r="H224" s="16">
        <f t="shared" si="11"/>
        <v>1999.9999894</v>
      </c>
      <c r="I224" s="14" t="s">
        <v>167</v>
      </c>
      <c r="J224" s="14" t="s">
        <v>15</v>
      </c>
      <c r="K224" s="17" t="s">
        <v>268</v>
      </c>
      <c r="L224">
        <v>4065162</v>
      </c>
    </row>
    <row r="225" spans="1:12" ht="15" customHeight="1" x14ac:dyDescent="0.25">
      <c r="A225" s="13">
        <v>46173</v>
      </c>
      <c r="B225" s="14" t="s">
        <v>271</v>
      </c>
      <c r="C225" s="15">
        <v>8</v>
      </c>
      <c r="D225" s="14" t="s">
        <v>100</v>
      </c>
      <c r="E225" s="16">
        <v>285.71428600000002</v>
      </c>
      <c r="F225" s="16">
        <f t="shared" si="9"/>
        <v>2285.7142880000001</v>
      </c>
      <c r="G225" s="16">
        <f t="shared" si="10"/>
        <v>434.28571472000004</v>
      </c>
      <c r="H225" s="16">
        <f t="shared" si="11"/>
        <v>2720.0000027200003</v>
      </c>
      <c r="I225" s="14" t="s">
        <v>167</v>
      </c>
      <c r="J225" s="14" t="s">
        <v>15</v>
      </c>
      <c r="K225" s="17" t="s">
        <v>268</v>
      </c>
      <c r="L225">
        <v>4065162</v>
      </c>
    </row>
    <row r="226" spans="1:12" ht="15" customHeight="1" x14ac:dyDescent="0.25">
      <c r="A226" s="13">
        <v>46173</v>
      </c>
      <c r="B226" s="14" t="s">
        <v>272</v>
      </c>
      <c r="C226" s="15">
        <v>12</v>
      </c>
      <c r="D226" s="14" t="s">
        <v>100</v>
      </c>
      <c r="E226" s="16">
        <v>210.084034</v>
      </c>
      <c r="F226" s="16">
        <f t="shared" si="9"/>
        <v>2521.0084080000001</v>
      </c>
      <c r="G226" s="16">
        <f t="shared" si="10"/>
        <v>478.99159752000003</v>
      </c>
      <c r="H226" s="16">
        <f t="shared" si="11"/>
        <v>3000.0000055200003</v>
      </c>
      <c r="I226" s="14" t="s">
        <v>167</v>
      </c>
      <c r="J226" s="14" t="s">
        <v>15</v>
      </c>
      <c r="K226" s="17" t="s">
        <v>268</v>
      </c>
      <c r="L226">
        <v>4065162</v>
      </c>
    </row>
    <row r="227" spans="1:12" ht="15" customHeight="1" x14ac:dyDescent="0.25">
      <c r="A227" s="13">
        <v>46173</v>
      </c>
      <c r="B227" s="14" t="s">
        <v>273</v>
      </c>
      <c r="C227" s="15">
        <v>8</v>
      </c>
      <c r="D227" s="14" t="s">
        <v>100</v>
      </c>
      <c r="E227" s="16">
        <v>326.05041999999997</v>
      </c>
      <c r="F227" s="16">
        <f t="shared" si="9"/>
        <v>2608.4033599999998</v>
      </c>
      <c r="G227" s="16">
        <f t="shared" si="10"/>
        <v>495.59663839999996</v>
      </c>
      <c r="H227" s="16">
        <f t="shared" si="11"/>
        <v>3103.9999983999996</v>
      </c>
      <c r="I227" s="14" t="s">
        <v>167</v>
      </c>
      <c r="J227" s="14" t="s">
        <v>15</v>
      </c>
      <c r="K227" s="17" t="s">
        <v>268</v>
      </c>
      <c r="L227">
        <v>4065162</v>
      </c>
    </row>
    <row r="228" spans="1:12" ht="15" customHeight="1" x14ac:dyDescent="0.25">
      <c r="A228" s="13">
        <v>46173</v>
      </c>
      <c r="B228" s="14" t="s">
        <v>274</v>
      </c>
      <c r="C228" s="15">
        <v>8</v>
      </c>
      <c r="D228" s="14" t="s">
        <v>100</v>
      </c>
      <c r="E228" s="16">
        <v>453.78151300000002</v>
      </c>
      <c r="F228" s="16">
        <f t="shared" si="9"/>
        <v>3630.2521040000001</v>
      </c>
      <c r="G228" s="16">
        <f t="shared" si="10"/>
        <v>689.74789976</v>
      </c>
      <c r="H228" s="16">
        <f t="shared" si="11"/>
        <v>4320.0000037600003</v>
      </c>
      <c r="I228" s="14" t="s">
        <v>167</v>
      </c>
      <c r="J228" s="14" t="s">
        <v>15</v>
      </c>
      <c r="K228" s="17" t="s">
        <v>268</v>
      </c>
      <c r="L228">
        <v>4065162</v>
      </c>
    </row>
    <row r="229" spans="1:12" ht="15" customHeight="1" x14ac:dyDescent="0.25">
      <c r="A229" s="13">
        <v>46173</v>
      </c>
      <c r="B229" s="14" t="s">
        <v>275</v>
      </c>
      <c r="C229" s="15">
        <v>12</v>
      </c>
      <c r="D229" s="14" t="s">
        <v>100</v>
      </c>
      <c r="E229" s="16">
        <v>361.36134399999997</v>
      </c>
      <c r="F229" s="16">
        <f t="shared" si="9"/>
        <v>4336.3361279999999</v>
      </c>
      <c r="G229" s="16">
        <f t="shared" si="10"/>
        <v>823.90386432000003</v>
      </c>
      <c r="H229" s="16">
        <f t="shared" si="11"/>
        <v>5160.2399923200001</v>
      </c>
      <c r="I229" s="14" t="s">
        <v>167</v>
      </c>
      <c r="J229" s="14" t="s">
        <v>15</v>
      </c>
      <c r="K229" s="17" t="s">
        <v>268</v>
      </c>
      <c r="L229">
        <v>4065162</v>
      </c>
    </row>
    <row r="230" spans="1:12" ht="15" customHeight="1" x14ac:dyDescent="0.25">
      <c r="A230" s="13">
        <v>46173</v>
      </c>
      <c r="B230" s="14" t="s">
        <v>276</v>
      </c>
      <c r="C230" s="15">
        <v>5</v>
      </c>
      <c r="D230" s="14" t="s">
        <v>100</v>
      </c>
      <c r="E230" s="16">
        <v>4243.747899</v>
      </c>
      <c r="F230" s="16">
        <f t="shared" si="9"/>
        <v>21218.739495000002</v>
      </c>
      <c r="G230" s="16">
        <f t="shared" si="10"/>
        <v>4031.5605040500004</v>
      </c>
      <c r="H230" s="16">
        <f t="shared" si="11"/>
        <v>25250.299999050003</v>
      </c>
      <c r="I230" s="14" t="s">
        <v>167</v>
      </c>
      <c r="J230" s="14" t="s">
        <v>15</v>
      </c>
      <c r="K230" s="17" t="s">
        <v>268</v>
      </c>
      <c r="L230">
        <v>4065162</v>
      </c>
    </row>
    <row r="231" spans="1:12" ht="15" customHeight="1" x14ac:dyDescent="0.25">
      <c r="A231" s="13">
        <v>46173</v>
      </c>
      <c r="B231" s="14" t="s">
        <v>277</v>
      </c>
      <c r="C231" s="15">
        <v>5</v>
      </c>
      <c r="D231" s="14" t="s">
        <v>100</v>
      </c>
      <c r="E231" s="16">
        <v>7857.1428569999998</v>
      </c>
      <c r="F231" s="16">
        <f t="shared" si="9"/>
        <v>39285.714285000002</v>
      </c>
      <c r="G231" s="16">
        <f t="shared" si="10"/>
        <v>7464.2857141500008</v>
      </c>
      <c r="H231" s="16">
        <f t="shared" si="11"/>
        <v>46749.999999150001</v>
      </c>
      <c r="I231" s="14" t="s">
        <v>167</v>
      </c>
      <c r="J231" s="14" t="s">
        <v>15</v>
      </c>
      <c r="K231" s="17" t="s">
        <v>268</v>
      </c>
      <c r="L231">
        <v>4065162</v>
      </c>
    </row>
    <row r="232" spans="1:12" ht="15" customHeight="1" x14ac:dyDescent="0.25">
      <c r="A232" s="13">
        <v>46173</v>
      </c>
      <c r="B232" s="14" t="s">
        <v>278</v>
      </c>
      <c r="C232" s="15">
        <v>10</v>
      </c>
      <c r="D232" s="14" t="s">
        <v>100</v>
      </c>
      <c r="E232" s="16">
        <v>326.05041999999997</v>
      </c>
      <c r="F232" s="16">
        <f t="shared" si="9"/>
        <v>3260.5041999999999</v>
      </c>
      <c r="G232" s="16">
        <f t="shared" si="10"/>
        <v>619.49579800000004</v>
      </c>
      <c r="H232" s="16">
        <f t="shared" si="11"/>
        <v>3879.9999979999998</v>
      </c>
      <c r="I232" s="14" t="s">
        <v>167</v>
      </c>
      <c r="J232" s="14" t="s">
        <v>15</v>
      </c>
      <c r="K232" s="17" t="s">
        <v>268</v>
      </c>
      <c r="L232">
        <v>4065162</v>
      </c>
    </row>
    <row r="233" spans="1:12" ht="15" customHeight="1" x14ac:dyDescent="0.25">
      <c r="A233" s="13">
        <v>46173</v>
      </c>
      <c r="B233" s="14" t="s">
        <v>279</v>
      </c>
      <c r="C233" s="15">
        <v>2</v>
      </c>
      <c r="D233" s="14" t="s">
        <v>100</v>
      </c>
      <c r="E233" s="16">
        <v>388.23529400000001</v>
      </c>
      <c r="F233" s="16">
        <f t="shared" si="9"/>
        <v>776.47058800000002</v>
      </c>
      <c r="G233" s="16">
        <f t="shared" si="10"/>
        <v>147.52941172000001</v>
      </c>
      <c r="H233" s="16">
        <f t="shared" si="11"/>
        <v>923.99999972000001</v>
      </c>
      <c r="I233" s="14" t="s">
        <v>167</v>
      </c>
      <c r="J233" s="14" t="s">
        <v>15</v>
      </c>
      <c r="K233" s="17" t="s">
        <v>268</v>
      </c>
      <c r="L233">
        <v>4065162</v>
      </c>
    </row>
    <row r="234" spans="1:12" ht="15" customHeight="1" x14ac:dyDescent="0.25">
      <c r="A234" s="13">
        <v>46173</v>
      </c>
      <c r="B234" s="14" t="s">
        <v>280</v>
      </c>
      <c r="C234" s="15">
        <v>1</v>
      </c>
      <c r="D234" s="14" t="s">
        <v>100</v>
      </c>
      <c r="E234" s="16">
        <v>5184.8739500000001</v>
      </c>
      <c r="F234" s="16">
        <f t="shared" si="9"/>
        <v>5184.8739500000001</v>
      </c>
      <c r="G234" s="16">
        <f t="shared" si="10"/>
        <v>985.12605050000002</v>
      </c>
      <c r="H234" s="16">
        <f t="shared" si="11"/>
        <v>6170.0000005000002</v>
      </c>
      <c r="I234" s="14" t="s">
        <v>167</v>
      </c>
      <c r="J234" s="14" t="s">
        <v>15</v>
      </c>
      <c r="K234" s="17" t="s">
        <v>268</v>
      </c>
      <c r="L234">
        <v>4065162</v>
      </c>
    </row>
    <row r="235" spans="1:12" ht="15" customHeight="1" x14ac:dyDescent="0.25">
      <c r="A235" s="13">
        <v>46173</v>
      </c>
      <c r="B235" s="14" t="s">
        <v>281</v>
      </c>
      <c r="C235" s="15">
        <v>12</v>
      </c>
      <c r="D235" s="14" t="s">
        <v>100</v>
      </c>
      <c r="E235" s="16">
        <v>264.70588199999997</v>
      </c>
      <c r="F235" s="16">
        <f t="shared" si="9"/>
        <v>3176.4705839999997</v>
      </c>
      <c r="G235" s="16">
        <f t="shared" si="10"/>
        <v>603.52941095999995</v>
      </c>
      <c r="H235" s="16">
        <f t="shared" si="11"/>
        <v>3779.9999949599996</v>
      </c>
      <c r="I235" s="14" t="s">
        <v>167</v>
      </c>
      <c r="J235" s="14" t="s">
        <v>15</v>
      </c>
      <c r="K235" s="17" t="s">
        <v>268</v>
      </c>
      <c r="L235">
        <v>4065162</v>
      </c>
    </row>
    <row r="236" spans="1:12" ht="15" customHeight="1" x14ac:dyDescent="0.25">
      <c r="A236" s="13">
        <v>46173</v>
      </c>
      <c r="B236" s="14" t="s">
        <v>282</v>
      </c>
      <c r="C236" s="15">
        <v>60</v>
      </c>
      <c r="D236" s="14" t="s">
        <v>100</v>
      </c>
      <c r="E236" s="16">
        <v>40.336134000000001</v>
      </c>
      <c r="F236" s="16">
        <f t="shared" si="9"/>
        <v>2420.16804</v>
      </c>
      <c r="G236" s="16">
        <f t="shared" si="10"/>
        <v>459.83192760000003</v>
      </c>
      <c r="H236" s="16">
        <f t="shared" si="11"/>
        <v>2879.9999676000002</v>
      </c>
      <c r="I236" s="14" t="s">
        <v>167</v>
      </c>
      <c r="J236" s="14" t="s">
        <v>15</v>
      </c>
      <c r="K236" s="17" t="s">
        <v>268</v>
      </c>
      <c r="L236">
        <v>4065162</v>
      </c>
    </row>
    <row r="237" spans="1:12" ht="15" customHeight="1" x14ac:dyDescent="0.25">
      <c r="A237" s="13">
        <v>46173</v>
      </c>
      <c r="B237" s="14" t="s">
        <v>283</v>
      </c>
      <c r="C237" s="15">
        <v>6</v>
      </c>
      <c r="D237" s="14" t="s">
        <v>100</v>
      </c>
      <c r="E237" s="16">
        <v>5210.085</v>
      </c>
      <c r="F237" s="16">
        <f t="shared" si="9"/>
        <v>31260.510000000002</v>
      </c>
      <c r="G237" s="16">
        <f t="shared" si="10"/>
        <v>5939.4969000000001</v>
      </c>
      <c r="H237" s="16">
        <f t="shared" si="11"/>
        <v>37200.0069</v>
      </c>
      <c r="I237" s="14" t="s">
        <v>167</v>
      </c>
      <c r="J237" s="14" t="s">
        <v>15</v>
      </c>
      <c r="K237" s="17" t="s">
        <v>268</v>
      </c>
      <c r="L237">
        <v>4065162</v>
      </c>
    </row>
    <row r="238" spans="1:12" ht="15" customHeight="1" x14ac:dyDescent="0.25">
      <c r="A238" s="13">
        <v>46147</v>
      </c>
      <c r="B238" s="14" t="s">
        <v>343</v>
      </c>
      <c r="C238" s="15">
        <v>3</v>
      </c>
      <c r="D238" s="14" t="s">
        <v>13</v>
      </c>
      <c r="E238" s="16">
        <v>9500</v>
      </c>
      <c r="F238" s="16">
        <f t="shared" si="9"/>
        <v>28500</v>
      </c>
      <c r="G238" s="16">
        <f t="shared" si="10"/>
        <v>5415</v>
      </c>
      <c r="H238" s="16">
        <f t="shared" si="11"/>
        <v>33915</v>
      </c>
      <c r="I238" s="19" t="s">
        <v>344</v>
      </c>
      <c r="J238" t="s">
        <v>15</v>
      </c>
      <c r="K238" t="s">
        <v>345</v>
      </c>
      <c r="L238">
        <v>4065161</v>
      </c>
    </row>
    <row r="239" spans="1:12" x14ac:dyDescent="0.25">
      <c r="A239" s="13">
        <v>46147</v>
      </c>
      <c r="B239" s="14" t="s">
        <v>346</v>
      </c>
      <c r="C239" s="15">
        <v>3</v>
      </c>
      <c r="D239" s="14" t="s">
        <v>13</v>
      </c>
      <c r="E239" s="16">
        <v>9500</v>
      </c>
      <c r="F239" s="16">
        <f t="shared" si="9"/>
        <v>28500</v>
      </c>
      <c r="G239" s="16">
        <f t="shared" si="10"/>
        <v>5415</v>
      </c>
      <c r="H239" s="16">
        <f t="shared" si="11"/>
        <v>33915</v>
      </c>
      <c r="I239" s="19" t="s">
        <v>344</v>
      </c>
      <c r="J239" t="s">
        <v>15</v>
      </c>
      <c r="K239" t="s">
        <v>345</v>
      </c>
      <c r="L239">
        <v>4065161</v>
      </c>
    </row>
    <row r="240" spans="1:12" x14ac:dyDescent="0.25">
      <c r="A240" s="13">
        <v>46147</v>
      </c>
      <c r="B240" s="14" t="s">
        <v>347</v>
      </c>
      <c r="C240" s="15">
        <v>3</v>
      </c>
      <c r="D240" s="14" t="s">
        <v>13</v>
      </c>
      <c r="E240" s="16">
        <v>6500</v>
      </c>
      <c r="F240" s="16">
        <f t="shared" si="9"/>
        <v>19500</v>
      </c>
      <c r="G240" s="16">
        <f t="shared" si="10"/>
        <v>3705</v>
      </c>
      <c r="H240" s="16">
        <f t="shared" si="11"/>
        <v>23205</v>
      </c>
      <c r="I240" s="19" t="s">
        <v>344</v>
      </c>
      <c r="J240" t="s">
        <v>15</v>
      </c>
      <c r="K240" t="s">
        <v>345</v>
      </c>
      <c r="L240">
        <v>4065161</v>
      </c>
    </row>
    <row r="241" spans="1:12" x14ac:dyDescent="0.25">
      <c r="A241" s="13">
        <v>46147</v>
      </c>
      <c r="B241" s="14" t="s">
        <v>348</v>
      </c>
      <c r="C241" s="15">
        <v>9</v>
      </c>
      <c r="D241" s="14" t="s">
        <v>13</v>
      </c>
      <c r="E241" s="16">
        <v>2000</v>
      </c>
      <c r="F241" s="16">
        <f t="shared" si="9"/>
        <v>18000</v>
      </c>
      <c r="G241" s="16">
        <f t="shared" si="10"/>
        <v>3420</v>
      </c>
      <c r="H241" s="16">
        <f t="shared" si="11"/>
        <v>21420</v>
      </c>
      <c r="I241" s="19" t="s">
        <v>344</v>
      </c>
      <c r="J241" t="s">
        <v>15</v>
      </c>
      <c r="K241" t="s">
        <v>345</v>
      </c>
      <c r="L241">
        <v>4065161</v>
      </c>
    </row>
    <row r="242" spans="1:12" x14ac:dyDescent="0.25">
      <c r="A242" s="13">
        <v>46237</v>
      </c>
      <c r="B242" s="14" t="s">
        <v>349</v>
      </c>
      <c r="C242" s="15">
        <v>56</v>
      </c>
      <c r="D242" s="14" t="s">
        <v>100</v>
      </c>
      <c r="E242" s="16">
        <v>450</v>
      </c>
      <c r="F242" s="16">
        <f t="shared" si="9"/>
        <v>25200</v>
      </c>
      <c r="G242" s="16">
        <f t="shared" si="10"/>
        <v>4788</v>
      </c>
      <c r="H242" s="16">
        <f t="shared" si="11"/>
        <v>29988</v>
      </c>
      <c r="I242" s="19" t="s">
        <v>344</v>
      </c>
      <c r="J242" t="s">
        <v>15</v>
      </c>
      <c r="K242" t="s">
        <v>350</v>
      </c>
      <c r="L242">
        <v>4065191</v>
      </c>
    </row>
    <row r="243" spans="1:12" x14ac:dyDescent="0.25">
      <c r="A243" s="13">
        <v>46237</v>
      </c>
      <c r="B243" s="14" t="s">
        <v>313</v>
      </c>
      <c r="C243" s="15">
        <v>1</v>
      </c>
      <c r="D243" s="14" t="s">
        <v>100</v>
      </c>
      <c r="E243" s="16">
        <v>2000</v>
      </c>
      <c r="F243" s="16">
        <f t="shared" si="9"/>
        <v>2000</v>
      </c>
      <c r="G243" s="16">
        <f t="shared" si="10"/>
        <v>380</v>
      </c>
      <c r="H243" s="16">
        <f t="shared" si="11"/>
        <v>2380</v>
      </c>
      <c r="I243" s="19" t="s">
        <v>344</v>
      </c>
      <c r="J243" t="s">
        <v>15</v>
      </c>
      <c r="K243" t="s">
        <v>350</v>
      </c>
      <c r="L243">
        <v>4065191</v>
      </c>
    </row>
    <row r="244" spans="1:12" x14ac:dyDescent="0.25">
      <c r="A244" s="13">
        <v>46147</v>
      </c>
      <c r="B244" s="14" t="s">
        <v>351</v>
      </c>
      <c r="C244" s="15">
        <v>28</v>
      </c>
      <c r="D244" s="14" t="s">
        <v>130</v>
      </c>
      <c r="E244" s="16">
        <v>19664</v>
      </c>
      <c r="F244" s="16">
        <f t="shared" si="9"/>
        <v>550592</v>
      </c>
      <c r="G244" s="16">
        <f t="shared" si="10"/>
        <v>104612.48</v>
      </c>
      <c r="H244" s="16">
        <f t="shared" si="11"/>
        <v>655204.48</v>
      </c>
      <c r="I244" s="19" t="s">
        <v>352</v>
      </c>
      <c r="J244" t="s">
        <v>15</v>
      </c>
      <c r="K244" t="s">
        <v>353</v>
      </c>
      <c r="L244">
        <v>4065229</v>
      </c>
    </row>
    <row r="245" spans="1:12" x14ac:dyDescent="0.25">
      <c r="A245" s="13">
        <v>46222</v>
      </c>
      <c r="B245" s="14" t="s">
        <v>366</v>
      </c>
      <c r="C245" s="15">
        <v>1</v>
      </c>
      <c r="D245" s="14" t="s">
        <v>100</v>
      </c>
      <c r="E245" s="16">
        <v>7500</v>
      </c>
      <c r="F245" s="16">
        <f t="shared" si="9"/>
        <v>7500</v>
      </c>
      <c r="G245" s="16">
        <f t="shared" si="10"/>
        <v>1425</v>
      </c>
      <c r="H245" s="16">
        <f t="shared" si="11"/>
        <v>8925</v>
      </c>
      <c r="I245" s="19" t="s">
        <v>178</v>
      </c>
      <c r="J245" t="s">
        <v>15</v>
      </c>
      <c r="K245" t="s">
        <v>417</v>
      </c>
      <c r="L245">
        <v>4065211</v>
      </c>
    </row>
    <row r="246" spans="1:12" s="26" customFormat="1" x14ac:dyDescent="0.25">
      <c r="A246" s="21">
        <v>46216</v>
      </c>
      <c r="B246" s="22" t="s">
        <v>375</v>
      </c>
      <c r="C246" s="23">
        <v>80</v>
      </c>
      <c r="D246" s="22" t="s">
        <v>100</v>
      </c>
      <c r="E246" s="24">
        <v>498.55</v>
      </c>
      <c r="F246" s="24">
        <f t="shared" si="9"/>
        <v>39884</v>
      </c>
      <c r="G246" s="24">
        <f t="shared" si="10"/>
        <v>7577.96</v>
      </c>
      <c r="H246" s="24">
        <f t="shared" si="11"/>
        <v>47461.96</v>
      </c>
      <c r="I246" s="25" t="s">
        <v>376</v>
      </c>
      <c r="J246" s="26" t="s">
        <v>15</v>
      </c>
      <c r="L246" s="26">
        <v>4065208</v>
      </c>
    </row>
    <row r="247" spans="1:12" x14ac:dyDescent="0.25">
      <c r="A247" s="3" t="s">
        <v>377</v>
      </c>
      <c r="B247" s="8"/>
      <c r="C247" s="8"/>
      <c r="D247" s="8"/>
      <c r="E247" s="8"/>
      <c r="F247" s="9">
        <f>SUM(F2:F246)</f>
        <v>18884999.779872008</v>
      </c>
      <c r="G247" s="9">
        <f>SUM(G2:G246)</f>
        <v>3588149.958175682</v>
      </c>
      <c r="H247" s="9">
        <f>SUM(H2:H246)</f>
        <v>22473149.738047685</v>
      </c>
      <c r="I247" s="8"/>
      <c r="J247" s="8"/>
      <c r="K247" s="8"/>
      <c r="L247" s="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topLeftCell="A16" zoomScaleNormal="100" workbookViewId="0">
      <selection activeCell="J65" sqref="J65"/>
    </sheetView>
  </sheetViews>
  <sheetFormatPr defaultColWidth="8.7109375" defaultRowHeight="15" x14ac:dyDescent="0.25"/>
  <cols>
    <col min="1" max="1" width="21.140625" customWidth="1"/>
    <col min="2" max="2" width="53.140625" customWidth="1"/>
    <col min="4" max="4" width="7.85546875" customWidth="1"/>
    <col min="5" max="5" width="13.42578125" customWidth="1"/>
    <col min="6" max="6" width="19.42578125" customWidth="1"/>
    <col min="7" max="7" width="18.42578125" customWidth="1"/>
    <col min="8" max="8" width="20.42578125" customWidth="1"/>
    <col min="9" max="9" width="21.28515625" customWidth="1"/>
    <col min="10" max="10" width="19.5703125" customWidth="1"/>
    <col min="11" max="11" width="32.28515625" customWidth="1"/>
  </cols>
  <sheetData>
    <row r="1" spans="1:12" ht="38.25" customHeigh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2" t="s">
        <v>11</v>
      </c>
    </row>
    <row r="2" spans="1:12" s="31" customFormat="1" ht="15" customHeight="1" x14ac:dyDescent="0.25">
      <c r="A2" s="46">
        <v>46027</v>
      </c>
      <c r="B2" s="47" t="s">
        <v>284</v>
      </c>
      <c r="C2" s="48">
        <v>5</v>
      </c>
      <c r="D2" s="47" t="s">
        <v>13</v>
      </c>
      <c r="E2" s="49">
        <v>45400</v>
      </c>
      <c r="F2" s="49">
        <f t="shared" ref="F2:F33" si="0">C2*E2</f>
        <v>227000</v>
      </c>
      <c r="G2" s="49">
        <f t="shared" ref="G2:G33" si="1">F2*0.19</f>
        <v>43130</v>
      </c>
      <c r="H2" s="49">
        <f t="shared" ref="H2:H33" si="2">F2+G2</f>
        <v>270130</v>
      </c>
      <c r="I2" s="47" t="s">
        <v>128</v>
      </c>
      <c r="J2" s="47" t="s">
        <v>285</v>
      </c>
      <c r="K2" s="31" t="s">
        <v>425</v>
      </c>
      <c r="L2" s="31">
        <v>4065511</v>
      </c>
    </row>
    <row r="3" spans="1:12" ht="15" customHeight="1" x14ac:dyDescent="0.25">
      <c r="A3" s="13">
        <v>46068</v>
      </c>
      <c r="B3" s="14" t="s">
        <v>286</v>
      </c>
      <c r="C3" s="15">
        <v>170</v>
      </c>
      <c r="D3" s="14" t="s">
        <v>287</v>
      </c>
      <c r="E3" s="16">
        <v>7700</v>
      </c>
      <c r="F3" s="16">
        <f t="shared" si="0"/>
        <v>1309000</v>
      </c>
      <c r="G3" s="16">
        <f t="shared" si="1"/>
        <v>248710</v>
      </c>
      <c r="H3" s="16">
        <f t="shared" si="2"/>
        <v>1557710</v>
      </c>
      <c r="I3" s="14" t="s">
        <v>288</v>
      </c>
      <c r="J3" s="14" t="s">
        <v>285</v>
      </c>
      <c r="K3" s="17" t="s">
        <v>289</v>
      </c>
      <c r="L3">
        <v>4065501</v>
      </c>
    </row>
    <row r="4" spans="1:12" ht="15" customHeight="1" x14ac:dyDescent="0.25">
      <c r="A4" s="13">
        <v>46075</v>
      </c>
      <c r="B4" s="14" t="s">
        <v>290</v>
      </c>
      <c r="C4" s="15">
        <v>100</v>
      </c>
      <c r="D4" s="14" t="s">
        <v>13</v>
      </c>
      <c r="E4" s="16">
        <v>3200</v>
      </c>
      <c r="F4" s="16">
        <f t="shared" si="0"/>
        <v>320000</v>
      </c>
      <c r="G4" s="16">
        <f t="shared" si="1"/>
        <v>60800</v>
      </c>
      <c r="H4" s="16">
        <f t="shared" si="2"/>
        <v>380800</v>
      </c>
      <c r="I4" s="14" t="s">
        <v>291</v>
      </c>
      <c r="J4" s="14" t="s">
        <v>285</v>
      </c>
      <c r="K4" t="s">
        <v>387</v>
      </c>
      <c r="L4">
        <v>4065520</v>
      </c>
    </row>
    <row r="5" spans="1:12" ht="15" customHeight="1" x14ac:dyDescent="0.25">
      <c r="A5" s="13">
        <v>46079</v>
      </c>
      <c r="B5" s="14" t="s">
        <v>292</v>
      </c>
      <c r="C5" s="15">
        <v>62000</v>
      </c>
      <c r="D5" s="14" t="s">
        <v>104</v>
      </c>
      <c r="E5" s="16">
        <v>97.48</v>
      </c>
      <c r="F5" s="16">
        <f t="shared" si="0"/>
        <v>6043760</v>
      </c>
      <c r="G5" s="16">
        <f t="shared" si="1"/>
        <v>1148314.3999999999</v>
      </c>
      <c r="H5" s="16">
        <f t="shared" si="2"/>
        <v>7192074.4000000004</v>
      </c>
      <c r="I5" s="14" t="s">
        <v>293</v>
      </c>
      <c r="J5" s="14" t="s">
        <v>285</v>
      </c>
      <c r="K5" s="17" t="s">
        <v>294</v>
      </c>
      <c r="L5">
        <v>4065525</v>
      </c>
    </row>
    <row r="6" spans="1:12" ht="15" customHeight="1" x14ac:dyDescent="0.25">
      <c r="A6" s="13">
        <v>46110</v>
      </c>
      <c r="B6" s="14" t="s">
        <v>286</v>
      </c>
      <c r="C6" s="15">
        <v>716</v>
      </c>
      <c r="D6" s="14" t="s">
        <v>287</v>
      </c>
      <c r="E6" s="16">
        <v>7700</v>
      </c>
      <c r="F6" s="16">
        <f t="shared" si="0"/>
        <v>5513200</v>
      </c>
      <c r="G6" s="16">
        <f t="shared" si="1"/>
        <v>1047508</v>
      </c>
      <c r="H6" s="16">
        <f t="shared" si="2"/>
        <v>6560708</v>
      </c>
      <c r="I6" s="14" t="s">
        <v>288</v>
      </c>
      <c r="J6" s="14" t="s">
        <v>285</v>
      </c>
      <c r="K6" s="17" t="s">
        <v>295</v>
      </c>
      <c r="L6">
        <v>4065422</v>
      </c>
    </row>
    <row r="7" spans="1:12" ht="15" customHeight="1" x14ac:dyDescent="0.25">
      <c r="A7" s="13">
        <v>46111</v>
      </c>
      <c r="B7" s="14" t="s">
        <v>296</v>
      </c>
      <c r="C7" s="15">
        <v>1</v>
      </c>
      <c r="D7" s="14" t="s">
        <v>13</v>
      </c>
      <c r="E7" s="16">
        <v>25000</v>
      </c>
      <c r="F7" s="16">
        <f t="shared" si="0"/>
        <v>25000</v>
      </c>
      <c r="G7" s="16">
        <f t="shared" si="1"/>
        <v>4750</v>
      </c>
      <c r="H7" s="16">
        <f t="shared" si="2"/>
        <v>29750</v>
      </c>
      <c r="I7" s="14" t="s">
        <v>297</v>
      </c>
      <c r="J7" s="14" t="s">
        <v>285</v>
      </c>
      <c r="K7" s="17" t="s">
        <v>298</v>
      </c>
      <c r="L7">
        <v>4065424</v>
      </c>
    </row>
    <row r="8" spans="1:12" ht="15" customHeight="1" x14ac:dyDescent="0.25">
      <c r="A8" s="13">
        <v>46125</v>
      </c>
      <c r="B8" s="14" t="s">
        <v>286</v>
      </c>
      <c r="C8" s="15">
        <v>512.5</v>
      </c>
      <c r="D8" s="14" t="s">
        <v>287</v>
      </c>
      <c r="E8" s="16">
        <v>7700</v>
      </c>
      <c r="F8" s="16">
        <f t="shared" si="0"/>
        <v>3946250</v>
      </c>
      <c r="G8" s="16">
        <f t="shared" si="1"/>
        <v>749787.5</v>
      </c>
      <c r="H8" s="16">
        <f t="shared" si="2"/>
        <v>4696037.5</v>
      </c>
      <c r="I8" s="14" t="s">
        <v>288</v>
      </c>
      <c r="J8" s="14" t="s">
        <v>285</v>
      </c>
      <c r="K8" s="17" t="s">
        <v>299</v>
      </c>
      <c r="L8">
        <v>4065438</v>
      </c>
    </row>
    <row r="9" spans="1:12" ht="15" customHeight="1" x14ac:dyDescent="0.25">
      <c r="A9" s="13">
        <v>46132</v>
      </c>
      <c r="B9" s="14" t="s">
        <v>286</v>
      </c>
      <c r="C9" s="15">
        <v>593</v>
      </c>
      <c r="D9" s="14" t="s">
        <v>287</v>
      </c>
      <c r="E9" s="16">
        <v>7700</v>
      </c>
      <c r="F9" s="16">
        <f t="shared" si="0"/>
        <v>4566100</v>
      </c>
      <c r="G9" s="16">
        <f t="shared" si="1"/>
        <v>867559</v>
      </c>
      <c r="H9" s="16">
        <f t="shared" si="2"/>
        <v>5433659</v>
      </c>
      <c r="I9" s="14" t="s">
        <v>288</v>
      </c>
      <c r="J9" s="14" t="s">
        <v>285</v>
      </c>
      <c r="K9" s="17" t="s">
        <v>300</v>
      </c>
      <c r="L9">
        <v>4065447</v>
      </c>
    </row>
    <row r="10" spans="1:12" ht="15" customHeight="1" x14ac:dyDescent="0.25">
      <c r="A10" s="13">
        <v>46132</v>
      </c>
      <c r="B10" s="14" t="s">
        <v>301</v>
      </c>
      <c r="C10" s="15">
        <v>593</v>
      </c>
      <c r="D10" s="14" t="s">
        <v>287</v>
      </c>
      <c r="E10" s="16">
        <v>7700</v>
      </c>
      <c r="F10" s="16">
        <f t="shared" si="0"/>
        <v>4566100</v>
      </c>
      <c r="G10" s="16">
        <f t="shared" si="1"/>
        <v>867559</v>
      </c>
      <c r="H10" s="16">
        <f t="shared" si="2"/>
        <v>5433659</v>
      </c>
      <c r="I10" s="14" t="s">
        <v>288</v>
      </c>
      <c r="J10" s="14" t="s">
        <v>285</v>
      </c>
      <c r="K10" s="17" t="s">
        <v>300</v>
      </c>
      <c r="L10">
        <v>4065447</v>
      </c>
    </row>
    <row r="11" spans="1:12" ht="15" customHeight="1" x14ac:dyDescent="0.25">
      <c r="A11" s="13">
        <v>46133</v>
      </c>
      <c r="B11" s="14" t="s">
        <v>302</v>
      </c>
      <c r="C11" s="15">
        <v>1000</v>
      </c>
      <c r="D11" s="14" t="s">
        <v>104</v>
      </c>
      <c r="E11" s="16">
        <v>135</v>
      </c>
      <c r="F11" s="16">
        <f t="shared" si="0"/>
        <v>135000</v>
      </c>
      <c r="G11" s="16">
        <f t="shared" si="1"/>
        <v>25650</v>
      </c>
      <c r="H11" s="16">
        <f t="shared" si="2"/>
        <v>160650</v>
      </c>
      <c r="I11" s="14" t="s">
        <v>303</v>
      </c>
      <c r="J11" s="14" t="s">
        <v>285</v>
      </c>
      <c r="K11" s="17" t="s">
        <v>304</v>
      </c>
      <c r="L11">
        <v>4065057</v>
      </c>
    </row>
    <row r="12" spans="1:12" ht="15" customHeight="1" x14ac:dyDescent="0.25">
      <c r="A12" s="13">
        <v>46133</v>
      </c>
      <c r="B12" s="14" t="s">
        <v>292</v>
      </c>
      <c r="C12" s="15">
        <v>62030</v>
      </c>
      <c r="D12" s="14" t="s">
        <v>104</v>
      </c>
      <c r="E12" s="16">
        <v>100</v>
      </c>
      <c r="F12" s="16">
        <f t="shared" si="0"/>
        <v>6203000</v>
      </c>
      <c r="G12" s="16">
        <f t="shared" si="1"/>
        <v>1178570</v>
      </c>
      <c r="H12" s="16">
        <f t="shared" si="2"/>
        <v>7381570</v>
      </c>
      <c r="I12" s="14" t="s">
        <v>293</v>
      </c>
      <c r="J12" s="14" t="s">
        <v>285</v>
      </c>
      <c r="K12" s="17" t="s">
        <v>305</v>
      </c>
      <c r="L12">
        <v>4065448</v>
      </c>
    </row>
    <row r="13" spans="1:12" ht="15" customHeight="1" x14ac:dyDescent="0.25">
      <c r="A13" s="13">
        <v>46133</v>
      </c>
      <c r="B13" s="14" t="s">
        <v>306</v>
      </c>
      <c r="C13" s="15">
        <v>2</v>
      </c>
      <c r="D13" s="14" t="s">
        <v>13</v>
      </c>
      <c r="E13" s="16">
        <v>14285.71</v>
      </c>
      <c r="F13" s="16">
        <f t="shared" si="0"/>
        <v>28571.42</v>
      </c>
      <c r="G13" s="16">
        <f t="shared" si="1"/>
        <v>5428.5697999999993</v>
      </c>
      <c r="H13" s="16">
        <f t="shared" si="2"/>
        <v>33999.989799999996</v>
      </c>
      <c r="I13" s="14" t="s">
        <v>293</v>
      </c>
      <c r="J13" s="14" t="s">
        <v>285</v>
      </c>
      <c r="K13" s="17" t="s">
        <v>305</v>
      </c>
      <c r="L13">
        <v>4065448</v>
      </c>
    </row>
    <row r="14" spans="1:12" ht="15" customHeight="1" x14ac:dyDescent="0.25">
      <c r="A14" s="13">
        <v>46147</v>
      </c>
      <c r="B14" s="14" t="s">
        <v>286</v>
      </c>
      <c r="C14" s="15">
        <v>450</v>
      </c>
      <c r="D14" s="14" t="s">
        <v>104</v>
      </c>
      <c r="E14" s="16">
        <v>7700</v>
      </c>
      <c r="F14" s="16">
        <f t="shared" si="0"/>
        <v>3465000</v>
      </c>
      <c r="G14" s="16">
        <f t="shared" si="1"/>
        <v>658350</v>
      </c>
      <c r="H14" s="16">
        <f t="shared" si="2"/>
        <v>4123350</v>
      </c>
      <c r="I14" s="14" t="s">
        <v>288</v>
      </c>
      <c r="J14" s="14" t="s">
        <v>285</v>
      </c>
      <c r="K14" s="17" t="s">
        <v>307</v>
      </c>
      <c r="L14">
        <v>4065076</v>
      </c>
    </row>
    <row r="15" spans="1:12" ht="15" customHeight="1" x14ac:dyDescent="0.25">
      <c r="A15" s="13">
        <v>46156</v>
      </c>
      <c r="B15" s="14" t="s">
        <v>308</v>
      </c>
      <c r="C15" s="15">
        <v>6520</v>
      </c>
      <c r="D15" s="14" t="s">
        <v>104</v>
      </c>
      <c r="E15" s="16">
        <v>97.9</v>
      </c>
      <c r="F15" s="16">
        <f t="shared" si="0"/>
        <v>638308</v>
      </c>
      <c r="G15" s="16">
        <f t="shared" si="1"/>
        <v>121278.52</v>
      </c>
      <c r="H15" s="16">
        <f t="shared" si="2"/>
        <v>759586.52</v>
      </c>
      <c r="I15" s="14" t="s">
        <v>293</v>
      </c>
      <c r="J15" s="14" t="s">
        <v>285</v>
      </c>
      <c r="K15" s="18" t="s">
        <v>309</v>
      </c>
      <c r="L15">
        <v>4065078</v>
      </c>
    </row>
    <row r="16" spans="1:12" ht="15" customHeight="1" x14ac:dyDescent="0.25">
      <c r="A16" s="13">
        <v>46156</v>
      </c>
      <c r="B16" s="14" t="s">
        <v>310</v>
      </c>
      <c r="C16" s="15">
        <v>2140</v>
      </c>
      <c r="D16" s="14" t="s">
        <v>104</v>
      </c>
      <c r="E16" s="16">
        <v>97.9</v>
      </c>
      <c r="F16" s="16">
        <f t="shared" si="0"/>
        <v>209506</v>
      </c>
      <c r="G16" s="16">
        <f t="shared" si="1"/>
        <v>39806.14</v>
      </c>
      <c r="H16" s="16">
        <f t="shared" si="2"/>
        <v>249312.14</v>
      </c>
      <c r="I16" s="14" t="s">
        <v>293</v>
      </c>
      <c r="J16" s="14" t="s">
        <v>285</v>
      </c>
      <c r="K16" s="18" t="s">
        <v>309</v>
      </c>
      <c r="L16">
        <v>4065078</v>
      </c>
    </row>
    <row r="17" spans="1:12" ht="15" customHeight="1" x14ac:dyDescent="0.25">
      <c r="A17" s="13">
        <v>46156</v>
      </c>
      <c r="B17" s="14" t="s">
        <v>311</v>
      </c>
      <c r="C17" s="15">
        <v>2160</v>
      </c>
      <c r="D17" s="14" t="s">
        <v>104</v>
      </c>
      <c r="E17" s="16">
        <v>97.9</v>
      </c>
      <c r="F17" s="16">
        <f t="shared" si="0"/>
        <v>211464</v>
      </c>
      <c r="G17" s="16">
        <f t="shared" si="1"/>
        <v>40178.160000000003</v>
      </c>
      <c r="H17" s="16">
        <f t="shared" si="2"/>
        <v>251642.16</v>
      </c>
      <c r="I17" s="14" t="s">
        <v>293</v>
      </c>
      <c r="J17" s="14" t="s">
        <v>285</v>
      </c>
      <c r="K17" s="18" t="s">
        <v>309</v>
      </c>
      <c r="L17">
        <v>4065078</v>
      </c>
    </row>
    <row r="18" spans="1:12" ht="15" customHeight="1" x14ac:dyDescent="0.25">
      <c r="A18" s="13">
        <v>46156</v>
      </c>
      <c r="B18" s="14" t="s">
        <v>312</v>
      </c>
      <c r="C18" s="15">
        <v>50820</v>
      </c>
      <c r="D18" s="14" t="s">
        <v>104</v>
      </c>
      <c r="E18" s="16">
        <v>100</v>
      </c>
      <c r="F18" s="16">
        <f t="shared" si="0"/>
        <v>5082000</v>
      </c>
      <c r="G18" s="16">
        <f t="shared" si="1"/>
        <v>965580</v>
      </c>
      <c r="H18" s="16">
        <f t="shared" si="2"/>
        <v>6047580</v>
      </c>
      <c r="I18" s="14" t="s">
        <v>293</v>
      </c>
      <c r="J18" s="14" t="s">
        <v>285</v>
      </c>
      <c r="K18" s="18" t="s">
        <v>309</v>
      </c>
      <c r="L18">
        <v>4065078</v>
      </c>
    </row>
    <row r="19" spans="1:12" ht="15" customHeight="1" x14ac:dyDescent="0.25">
      <c r="A19" s="13">
        <v>46156</v>
      </c>
      <c r="B19" s="14" t="s">
        <v>313</v>
      </c>
      <c r="C19" s="15">
        <v>3</v>
      </c>
      <c r="D19" s="14" t="s">
        <v>13</v>
      </c>
      <c r="E19" s="16">
        <v>10084.030000000001</v>
      </c>
      <c r="F19" s="16">
        <f t="shared" si="0"/>
        <v>30252.090000000004</v>
      </c>
      <c r="G19" s="16">
        <f t="shared" si="1"/>
        <v>5747.897100000001</v>
      </c>
      <c r="H19" s="16">
        <f t="shared" si="2"/>
        <v>35999.987100000006</v>
      </c>
      <c r="I19" s="14" t="s">
        <v>293</v>
      </c>
      <c r="J19" s="14" t="s">
        <v>285</v>
      </c>
      <c r="K19" s="18" t="s">
        <v>309</v>
      </c>
      <c r="L19">
        <v>4065078</v>
      </c>
    </row>
    <row r="20" spans="1:12" ht="15" customHeight="1" x14ac:dyDescent="0.25">
      <c r="A20" s="13">
        <v>46173</v>
      </c>
      <c r="B20" s="14" t="s">
        <v>292</v>
      </c>
      <c r="C20" s="15">
        <v>60600</v>
      </c>
      <c r="D20" s="14" t="s">
        <v>164</v>
      </c>
      <c r="E20" s="16">
        <v>100.42</v>
      </c>
      <c r="F20" s="16">
        <f t="shared" si="0"/>
        <v>6085452</v>
      </c>
      <c r="G20" s="16">
        <f t="shared" si="1"/>
        <v>1156235.8800000001</v>
      </c>
      <c r="H20" s="16">
        <f t="shared" si="2"/>
        <v>7241687.8799999999</v>
      </c>
      <c r="I20" s="14" t="s">
        <v>293</v>
      </c>
      <c r="J20" s="14" t="s">
        <v>285</v>
      </c>
      <c r="K20" s="18" t="s">
        <v>314</v>
      </c>
      <c r="L20">
        <v>4065110</v>
      </c>
    </row>
    <row r="21" spans="1:12" ht="15" customHeight="1" x14ac:dyDescent="0.25">
      <c r="A21" s="13">
        <v>46173</v>
      </c>
      <c r="B21" s="14" t="s">
        <v>315</v>
      </c>
      <c r="C21" s="15">
        <v>19320</v>
      </c>
      <c r="D21" s="14" t="s">
        <v>164</v>
      </c>
      <c r="E21" s="16">
        <v>100</v>
      </c>
      <c r="F21" s="16">
        <f t="shared" si="0"/>
        <v>1932000</v>
      </c>
      <c r="G21" s="16">
        <f t="shared" si="1"/>
        <v>367080</v>
      </c>
      <c r="H21" s="16">
        <f t="shared" si="2"/>
        <v>2299080</v>
      </c>
      <c r="I21" s="14" t="s">
        <v>293</v>
      </c>
      <c r="J21" s="14" t="s">
        <v>285</v>
      </c>
      <c r="K21" s="18" t="s">
        <v>314</v>
      </c>
      <c r="L21">
        <v>4065110</v>
      </c>
    </row>
    <row r="22" spans="1:12" ht="15" customHeight="1" x14ac:dyDescent="0.25">
      <c r="A22" s="13">
        <v>46173</v>
      </c>
      <c r="B22" s="14" t="s">
        <v>316</v>
      </c>
      <c r="C22" s="15">
        <v>30420</v>
      </c>
      <c r="D22" s="14" t="s">
        <v>164</v>
      </c>
      <c r="E22" s="16">
        <v>98.74</v>
      </c>
      <c r="F22" s="16">
        <f t="shared" si="0"/>
        <v>3003670.8</v>
      </c>
      <c r="G22" s="16">
        <f t="shared" si="1"/>
        <v>570697.45199999993</v>
      </c>
      <c r="H22" s="16">
        <f t="shared" si="2"/>
        <v>3574368.2519999999</v>
      </c>
      <c r="I22" s="14" t="s">
        <v>293</v>
      </c>
      <c r="J22" s="14" t="s">
        <v>285</v>
      </c>
      <c r="K22" s="18" t="s">
        <v>314</v>
      </c>
      <c r="L22">
        <v>4065110</v>
      </c>
    </row>
    <row r="23" spans="1:12" ht="15" customHeight="1" x14ac:dyDescent="0.25">
      <c r="A23" s="13">
        <v>46173</v>
      </c>
      <c r="B23" s="14" t="s">
        <v>313</v>
      </c>
      <c r="C23" s="15">
        <v>5</v>
      </c>
      <c r="D23" s="14" t="s">
        <v>13</v>
      </c>
      <c r="E23" s="16">
        <v>10084.030000000001</v>
      </c>
      <c r="F23" s="16">
        <f t="shared" si="0"/>
        <v>50420.15</v>
      </c>
      <c r="G23" s="16">
        <f t="shared" si="1"/>
        <v>9579.8284999999996</v>
      </c>
      <c r="H23" s="16">
        <f t="shared" si="2"/>
        <v>59999.978499999997</v>
      </c>
      <c r="I23" s="14" t="s">
        <v>293</v>
      </c>
      <c r="J23" s="14" t="s">
        <v>285</v>
      </c>
      <c r="K23" s="18" t="s">
        <v>314</v>
      </c>
      <c r="L23">
        <v>4065110</v>
      </c>
    </row>
    <row r="24" spans="1:12" ht="15" customHeight="1" x14ac:dyDescent="0.25">
      <c r="A24" s="13">
        <v>46176</v>
      </c>
      <c r="B24" s="14" t="s">
        <v>317</v>
      </c>
      <c r="C24" s="15">
        <v>679.5</v>
      </c>
      <c r="D24" s="14" t="s">
        <v>287</v>
      </c>
      <c r="E24" s="16">
        <v>7700</v>
      </c>
      <c r="F24" s="16">
        <f t="shared" si="0"/>
        <v>5232150</v>
      </c>
      <c r="G24" s="16">
        <f t="shared" si="1"/>
        <v>994108.5</v>
      </c>
      <c r="H24" s="16">
        <f t="shared" si="2"/>
        <v>6226258.5</v>
      </c>
      <c r="I24" s="14" t="s">
        <v>288</v>
      </c>
      <c r="J24" s="14" t="s">
        <v>285</v>
      </c>
      <c r="K24" s="17" t="s">
        <v>318</v>
      </c>
      <c r="L24">
        <v>4065111</v>
      </c>
    </row>
    <row r="25" spans="1:12" s="31" customFormat="1" ht="15" customHeight="1" x14ac:dyDescent="0.25">
      <c r="A25" s="46">
        <v>46186</v>
      </c>
      <c r="B25" s="47" t="s">
        <v>319</v>
      </c>
      <c r="C25" s="48">
        <v>100.2</v>
      </c>
      <c r="D25" s="47" t="s">
        <v>320</v>
      </c>
      <c r="E25" s="49">
        <v>9958</v>
      </c>
      <c r="F25" s="49">
        <f t="shared" si="0"/>
        <v>997791.6</v>
      </c>
      <c r="G25" s="49">
        <f t="shared" si="1"/>
        <v>189580.40400000001</v>
      </c>
      <c r="H25" s="49">
        <f t="shared" si="2"/>
        <v>1187372.004</v>
      </c>
      <c r="I25" s="47" t="s">
        <v>321</v>
      </c>
      <c r="J25" s="47" t="s">
        <v>285</v>
      </c>
      <c r="K25" s="31" t="s">
        <v>423</v>
      </c>
      <c r="L25" s="31">
        <v>4065124</v>
      </c>
    </row>
    <row r="26" spans="1:12" s="31" customFormat="1" ht="15" customHeight="1" x14ac:dyDescent="0.25">
      <c r="A26" s="46">
        <v>46186</v>
      </c>
      <c r="B26" s="47" t="s">
        <v>322</v>
      </c>
      <c r="C26" s="48">
        <v>60</v>
      </c>
      <c r="D26" s="47" t="s">
        <v>320</v>
      </c>
      <c r="E26" s="49">
        <v>9916</v>
      </c>
      <c r="F26" s="49">
        <f t="shared" si="0"/>
        <v>594960</v>
      </c>
      <c r="G26" s="49">
        <f t="shared" si="1"/>
        <v>113042.4</v>
      </c>
      <c r="H26" s="49">
        <f t="shared" si="2"/>
        <v>708002.4</v>
      </c>
      <c r="I26" s="47" t="s">
        <v>321</v>
      </c>
      <c r="J26" s="47" t="s">
        <v>285</v>
      </c>
      <c r="K26" s="31" t="s">
        <v>423</v>
      </c>
      <c r="L26" s="31">
        <v>4065124</v>
      </c>
    </row>
    <row r="27" spans="1:12" s="31" customFormat="1" ht="15" customHeight="1" x14ac:dyDescent="0.25">
      <c r="A27" s="46">
        <v>46186</v>
      </c>
      <c r="B27" s="47" t="s">
        <v>323</v>
      </c>
      <c r="C27" s="48">
        <v>19.399999999999999</v>
      </c>
      <c r="D27" s="47" t="s">
        <v>320</v>
      </c>
      <c r="E27" s="49">
        <v>10043</v>
      </c>
      <c r="F27" s="49">
        <f t="shared" si="0"/>
        <v>194834.19999999998</v>
      </c>
      <c r="G27" s="49">
        <f t="shared" si="1"/>
        <v>37018.498</v>
      </c>
      <c r="H27" s="49">
        <f t="shared" si="2"/>
        <v>231852.69799999997</v>
      </c>
      <c r="I27" s="47" t="s">
        <v>321</v>
      </c>
      <c r="J27" s="47" t="s">
        <v>285</v>
      </c>
      <c r="K27" s="31" t="s">
        <v>423</v>
      </c>
      <c r="L27" s="31">
        <v>4065124</v>
      </c>
    </row>
    <row r="28" spans="1:12" ht="15" customHeight="1" x14ac:dyDescent="0.25">
      <c r="A28" s="13">
        <v>46195</v>
      </c>
      <c r="B28" s="14" t="s">
        <v>313</v>
      </c>
      <c r="C28" s="15">
        <v>1</v>
      </c>
      <c r="D28" s="14"/>
      <c r="E28" s="16">
        <v>8403.36</v>
      </c>
      <c r="F28" s="16">
        <f t="shared" si="0"/>
        <v>8403.36</v>
      </c>
      <c r="G28" s="16">
        <f t="shared" si="1"/>
        <v>1596.6384</v>
      </c>
      <c r="H28" s="16">
        <f t="shared" si="2"/>
        <v>9999.9984000000004</v>
      </c>
      <c r="I28" s="14" t="s">
        <v>293</v>
      </c>
      <c r="J28" s="14" t="s">
        <v>285</v>
      </c>
      <c r="K28" s="17" t="s">
        <v>324</v>
      </c>
      <c r="L28">
        <v>4065159</v>
      </c>
    </row>
    <row r="29" spans="1:12" ht="15" customHeight="1" x14ac:dyDescent="0.25">
      <c r="A29" s="13">
        <v>46195</v>
      </c>
      <c r="B29" s="14" t="s">
        <v>325</v>
      </c>
      <c r="C29" s="15">
        <v>40480</v>
      </c>
      <c r="D29" s="14" t="s">
        <v>104</v>
      </c>
      <c r="E29" s="16">
        <v>100</v>
      </c>
      <c r="F29" s="16">
        <f t="shared" si="0"/>
        <v>4048000</v>
      </c>
      <c r="G29" s="16">
        <f t="shared" si="1"/>
        <v>769120</v>
      </c>
      <c r="H29" s="16">
        <f t="shared" si="2"/>
        <v>4817120</v>
      </c>
      <c r="I29" s="14" t="s">
        <v>293</v>
      </c>
      <c r="J29" s="14" t="s">
        <v>285</v>
      </c>
      <c r="K29" s="17" t="s">
        <v>324</v>
      </c>
      <c r="L29">
        <v>4065159</v>
      </c>
    </row>
    <row r="30" spans="1:12" ht="15" customHeight="1" x14ac:dyDescent="0.25">
      <c r="A30" s="13">
        <v>46195</v>
      </c>
      <c r="B30" s="14" t="s">
        <v>326</v>
      </c>
      <c r="C30" s="15">
        <v>4060</v>
      </c>
      <c r="D30" s="14"/>
      <c r="E30" s="16">
        <v>98.739457999999999</v>
      </c>
      <c r="F30" s="16">
        <f t="shared" si="0"/>
        <v>400882.19948000001</v>
      </c>
      <c r="G30" s="16">
        <f t="shared" si="1"/>
        <v>76167.617901200007</v>
      </c>
      <c r="H30" s="16">
        <f t="shared" si="2"/>
        <v>477049.81738120003</v>
      </c>
      <c r="I30" s="14" t="s">
        <v>293</v>
      </c>
      <c r="J30" s="14" t="s">
        <v>285</v>
      </c>
      <c r="K30" s="17" t="s">
        <v>327</v>
      </c>
      <c r="L30">
        <v>4065173</v>
      </c>
    </row>
    <row r="31" spans="1:12" ht="15" customHeight="1" x14ac:dyDescent="0.25">
      <c r="A31" s="13">
        <v>46195</v>
      </c>
      <c r="B31" s="14" t="s">
        <v>328</v>
      </c>
      <c r="C31" s="15">
        <v>20160</v>
      </c>
      <c r="D31" s="14" t="s">
        <v>104</v>
      </c>
      <c r="E31" s="16">
        <v>100</v>
      </c>
      <c r="F31" s="16">
        <f t="shared" si="0"/>
        <v>2016000</v>
      </c>
      <c r="G31" s="16">
        <f t="shared" si="1"/>
        <v>383040</v>
      </c>
      <c r="H31" s="16">
        <f t="shared" si="2"/>
        <v>2399040</v>
      </c>
      <c r="I31" s="14" t="s">
        <v>293</v>
      </c>
      <c r="J31" s="14" t="s">
        <v>285</v>
      </c>
      <c r="K31" s="17" t="s">
        <v>327</v>
      </c>
      <c r="L31">
        <v>4065173</v>
      </c>
    </row>
    <row r="32" spans="1:12" ht="15" customHeight="1" x14ac:dyDescent="0.25">
      <c r="A32" s="13">
        <v>46125</v>
      </c>
      <c r="B32" s="14" t="s">
        <v>329</v>
      </c>
      <c r="C32" s="15">
        <v>60900</v>
      </c>
      <c r="D32" s="14" t="s">
        <v>104</v>
      </c>
      <c r="E32" s="16">
        <v>100</v>
      </c>
      <c r="F32" s="16">
        <f t="shared" si="0"/>
        <v>6090000</v>
      </c>
      <c r="G32" s="16">
        <f t="shared" si="1"/>
        <v>1157100</v>
      </c>
      <c r="H32" s="16">
        <f t="shared" si="2"/>
        <v>7247100</v>
      </c>
      <c r="I32" s="14" t="s">
        <v>293</v>
      </c>
      <c r="J32" s="14" t="s">
        <v>285</v>
      </c>
      <c r="K32" s="18" t="s">
        <v>330</v>
      </c>
      <c r="L32">
        <v>4065437</v>
      </c>
    </row>
    <row r="33" spans="1:12" ht="15" customHeight="1" x14ac:dyDescent="0.25">
      <c r="A33" s="13">
        <v>46125</v>
      </c>
      <c r="B33" s="14" t="s">
        <v>313</v>
      </c>
      <c r="C33" s="15">
        <v>2</v>
      </c>
      <c r="D33" s="14" t="s">
        <v>104</v>
      </c>
      <c r="E33" s="16">
        <v>14285.7143</v>
      </c>
      <c r="F33" s="16">
        <f t="shared" si="0"/>
        <v>28571.428599999999</v>
      </c>
      <c r="G33" s="16">
        <f t="shared" si="1"/>
        <v>5428.5714339999995</v>
      </c>
      <c r="H33" s="16">
        <f t="shared" si="2"/>
        <v>34000.000033999997</v>
      </c>
      <c r="I33" s="14" t="s">
        <v>293</v>
      </c>
      <c r="J33" s="14" t="s">
        <v>285</v>
      </c>
      <c r="K33" s="18" t="s">
        <v>330</v>
      </c>
      <c r="L33">
        <v>4065437</v>
      </c>
    </row>
    <row r="34" spans="1:12" s="45" customFormat="1" ht="21" customHeight="1" x14ac:dyDescent="0.25">
      <c r="A34" s="41">
        <v>46210</v>
      </c>
      <c r="B34" s="42" t="s">
        <v>331</v>
      </c>
      <c r="C34" s="43">
        <v>1</v>
      </c>
      <c r="D34" s="42" t="s">
        <v>332</v>
      </c>
      <c r="E34" s="44">
        <v>13490</v>
      </c>
      <c r="F34" s="44">
        <f t="shared" ref="F34:F53" si="3">C34*E34</f>
        <v>13490</v>
      </c>
      <c r="G34" s="44">
        <f t="shared" ref="G34:G53" si="4">F34*0.19</f>
        <v>2563.1</v>
      </c>
      <c r="H34" s="44">
        <f t="shared" ref="H34:H53" si="5">F34+G34</f>
        <v>16053.1</v>
      </c>
      <c r="I34" s="42" t="s">
        <v>333</v>
      </c>
      <c r="J34" s="42" t="s">
        <v>285</v>
      </c>
      <c r="K34" s="45" t="s">
        <v>424</v>
      </c>
    </row>
    <row r="35" spans="1:12" s="31" customFormat="1" ht="15" customHeight="1" x14ac:dyDescent="0.25">
      <c r="A35" s="46">
        <v>46195</v>
      </c>
      <c r="B35" s="47" t="s">
        <v>334</v>
      </c>
      <c r="C35" s="48">
        <v>122</v>
      </c>
      <c r="D35" s="47" t="s">
        <v>320</v>
      </c>
      <c r="E35" s="49">
        <v>10000</v>
      </c>
      <c r="F35" s="49">
        <f t="shared" si="3"/>
        <v>1220000</v>
      </c>
      <c r="G35" s="49">
        <f t="shared" si="4"/>
        <v>231800</v>
      </c>
      <c r="H35" s="49">
        <f t="shared" si="5"/>
        <v>1451800</v>
      </c>
      <c r="I35" s="47" t="s">
        <v>321</v>
      </c>
      <c r="J35" s="47" t="s">
        <v>285</v>
      </c>
      <c r="K35" s="31" t="s">
        <v>422</v>
      </c>
      <c r="L35" s="31">
        <v>4065158</v>
      </c>
    </row>
    <row r="36" spans="1:12" s="31" customFormat="1" ht="15" customHeight="1" x14ac:dyDescent="0.25">
      <c r="A36" s="46">
        <v>46195</v>
      </c>
      <c r="B36" s="47" t="s">
        <v>313</v>
      </c>
      <c r="C36" s="48">
        <v>1</v>
      </c>
      <c r="D36" s="47" t="s">
        <v>100</v>
      </c>
      <c r="E36" s="49">
        <v>10084.030000000001</v>
      </c>
      <c r="F36" s="49">
        <f t="shared" si="3"/>
        <v>10084.030000000001</v>
      </c>
      <c r="G36" s="49">
        <f t="shared" si="4"/>
        <v>1915.9657000000002</v>
      </c>
      <c r="H36" s="49">
        <f t="shared" si="5"/>
        <v>11999.995700000001</v>
      </c>
      <c r="I36" s="47" t="s">
        <v>321</v>
      </c>
      <c r="J36" s="47" t="s">
        <v>285</v>
      </c>
      <c r="K36" s="31" t="s">
        <v>422</v>
      </c>
      <c r="L36" s="31">
        <v>4065158</v>
      </c>
    </row>
    <row r="37" spans="1:12" ht="15" customHeight="1" x14ac:dyDescent="0.25">
      <c r="A37" s="13">
        <v>46195</v>
      </c>
      <c r="B37" s="14" t="s">
        <v>335</v>
      </c>
      <c r="C37" s="15">
        <v>1071.5</v>
      </c>
      <c r="D37" s="14" t="s">
        <v>287</v>
      </c>
      <c r="E37" s="16">
        <v>7700</v>
      </c>
      <c r="F37" s="16">
        <f t="shared" si="3"/>
        <v>8250550</v>
      </c>
      <c r="G37" s="16">
        <f t="shared" si="4"/>
        <v>1567604.5</v>
      </c>
      <c r="H37" s="16">
        <f t="shared" si="5"/>
        <v>9818154.5</v>
      </c>
      <c r="I37" s="14" t="s">
        <v>288</v>
      </c>
      <c r="J37" s="14" t="s">
        <v>285</v>
      </c>
      <c r="K37" s="17" t="s">
        <v>336</v>
      </c>
      <c r="L37">
        <v>4065172</v>
      </c>
    </row>
    <row r="38" spans="1:12" ht="15" customHeight="1" x14ac:dyDescent="0.25">
      <c r="A38" s="13">
        <v>46216</v>
      </c>
      <c r="B38" s="14" t="s">
        <v>337</v>
      </c>
      <c r="C38" s="15">
        <v>6100</v>
      </c>
      <c r="D38" s="14" t="s">
        <v>104</v>
      </c>
      <c r="E38" s="16">
        <v>98.739599999999996</v>
      </c>
      <c r="F38" s="16">
        <f t="shared" si="3"/>
        <v>602311.55999999994</v>
      </c>
      <c r="G38" s="16">
        <f t="shared" si="4"/>
        <v>114439.19639999999</v>
      </c>
      <c r="H38" s="16">
        <f t="shared" si="5"/>
        <v>716750.75639999995</v>
      </c>
      <c r="I38" s="14" t="s">
        <v>293</v>
      </c>
      <c r="J38" s="14" t="s">
        <v>285</v>
      </c>
      <c r="K38" s="17" t="s">
        <v>338</v>
      </c>
      <c r="L38">
        <v>4065189</v>
      </c>
    </row>
    <row r="39" spans="1:12" ht="15" customHeight="1" x14ac:dyDescent="0.25">
      <c r="A39" s="13">
        <v>46216</v>
      </c>
      <c r="B39" s="14" t="s">
        <v>313</v>
      </c>
      <c r="C39" s="15">
        <v>1</v>
      </c>
      <c r="D39" s="14" t="s">
        <v>100</v>
      </c>
      <c r="E39" s="16">
        <v>10084.030000000001</v>
      </c>
      <c r="F39" s="16">
        <f t="shared" si="3"/>
        <v>10084.030000000001</v>
      </c>
      <c r="G39" s="16">
        <f t="shared" si="4"/>
        <v>1915.9657000000002</v>
      </c>
      <c r="H39" s="16">
        <f t="shared" si="5"/>
        <v>11999.995700000001</v>
      </c>
      <c r="I39" s="14" t="s">
        <v>293</v>
      </c>
      <c r="J39" s="14" t="s">
        <v>285</v>
      </c>
      <c r="K39" s="17" t="s">
        <v>338</v>
      </c>
      <c r="L39">
        <v>4065189</v>
      </c>
    </row>
    <row r="40" spans="1:12" x14ac:dyDescent="0.25">
      <c r="A40" s="4">
        <v>46232</v>
      </c>
      <c r="B40" s="5" t="s">
        <v>339</v>
      </c>
      <c r="C40" s="6">
        <v>300</v>
      </c>
      <c r="D40" s="5" t="s">
        <v>257</v>
      </c>
      <c r="E40" s="5">
        <v>150</v>
      </c>
      <c r="F40" s="7">
        <f t="shared" si="3"/>
        <v>45000</v>
      </c>
      <c r="G40" s="7">
        <f t="shared" si="4"/>
        <v>8550</v>
      </c>
      <c r="H40" s="7">
        <f t="shared" si="5"/>
        <v>53550</v>
      </c>
      <c r="I40" s="5" t="s">
        <v>340</v>
      </c>
      <c r="J40" s="5" t="s">
        <v>285</v>
      </c>
      <c r="K40" s="32" t="s">
        <v>388</v>
      </c>
      <c r="L40" s="5">
        <v>4065228</v>
      </c>
    </row>
    <row r="41" spans="1:12" ht="15" customHeight="1" x14ac:dyDescent="0.25">
      <c r="A41" s="13">
        <v>46214</v>
      </c>
      <c r="B41" s="14" t="s">
        <v>341</v>
      </c>
      <c r="C41" s="15">
        <v>1009</v>
      </c>
      <c r="D41" s="14" t="s">
        <v>104</v>
      </c>
      <c r="E41" s="16">
        <v>135</v>
      </c>
      <c r="F41" s="16">
        <f t="shared" si="3"/>
        <v>136215</v>
      </c>
      <c r="G41" s="16">
        <f t="shared" si="4"/>
        <v>25880.85</v>
      </c>
      <c r="H41" s="16">
        <f t="shared" si="5"/>
        <v>162095.85</v>
      </c>
      <c r="I41" t="s">
        <v>303</v>
      </c>
      <c r="J41" t="s">
        <v>285</v>
      </c>
      <c r="K41" t="s">
        <v>342</v>
      </c>
      <c r="L41">
        <v>4065207</v>
      </c>
    </row>
    <row r="42" spans="1:12" x14ac:dyDescent="0.25">
      <c r="A42" s="13">
        <v>46225</v>
      </c>
      <c r="B42" s="14" t="s">
        <v>354</v>
      </c>
      <c r="C42" s="15">
        <v>3</v>
      </c>
      <c r="D42" s="14" t="s">
        <v>100</v>
      </c>
      <c r="E42" s="16">
        <v>49450</v>
      </c>
      <c r="F42" s="16">
        <f t="shared" si="3"/>
        <v>148350</v>
      </c>
      <c r="G42" s="16">
        <f t="shared" si="4"/>
        <v>28186.5</v>
      </c>
      <c r="H42" s="16">
        <f t="shared" si="5"/>
        <v>176536.5</v>
      </c>
      <c r="I42" t="s">
        <v>355</v>
      </c>
      <c r="J42" t="s">
        <v>285</v>
      </c>
      <c r="K42" t="s">
        <v>356</v>
      </c>
      <c r="L42">
        <v>4065215</v>
      </c>
    </row>
    <row r="43" spans="1:12" x14ac:dyDescent="0.25">
      <c r="A43" s="13">
        <v>46214</v>
      </c>
      <c r="B43" s="14" t="s">
        <v>357</v>
      </c>
      <c r="C43" s="15">
        <v>100</v>
      </c>
      <c r="D43" s="14" t="s">
        <v>358</v>
      </c>
      <c r="E43" s="16">
        <v>770</v>
      </c>
      <c r="F43" s="16">
        <f t="shared" si="3"/>
        <v>77000</v>
      </c>
      <c r="G43" s="16">
        <f t="shared" si="4"/>
        <v>14630</v>
      </c>
      <c r="H43" s="16">
        <f t="shared" si="5"/>
        <v>91630</v>
      </c>
      <c r="I43" t="s">
        <v>359</v>
      </c>
      <c r="J43" t="s">
        <v>285</v>
      </c>
      <c r="K43" t="s">
        <v>389</v>
      </c>
      <c r="L43">
        <v>4065206</v>
      </c>
    </row>
    <row r="44" spans="1:12" x14ac:dyDescent="0.25">
      <c r="A44" s="13">
        <v>46214</v>
      </c>
      <c r="B44" s="14" t="s">
        <v>360</v>
      </c>
      <c r="C44" s="15">
        <v>5</v>
      </c>
      <c r="D44" s="14" t="s">
        <v>100</v>
      </c>
      <c r="E44" s="16">
        <v>1400</v>
      </c>
      <c r="F44" s="16">
        <f t="shared" si="3"/>
        <v>7000</v>
      </c>
      <c r="G44" s="16">
        <f t="shared" si="4"/>
        <v>1330</v>
      </c>
      <c r="H44" s="16">
        <f t="shared" si="5"/>
        <v>8330</v>
      </c>
      <c r="I44" t="s">
        <v>359</v>
      </c>
      <c r="J44" t="s">
        <v>285</v>
      </c>
      <c r="K44" t="s">
        <v>389</v>
      </c>
      <c r="L44">
        <v>4065206</v>
      </c>
    </row>
    <row r="45" spans="1:12" x14ac:dyDescent="0.25">
      <c r="A45" s="13">
        <v>46214</v>
      </c>
      <c r="B45" s="14" t="s">
        <v>361</v>
      </c>
      <c r="C45" s="15">
        <v>5</v>
      </c>
      <c r="D45" s="14" t="s">
        <v>100</v>
      </c>
      <c r="E45" s="16">
        <v>786.6</v>
      </c>
      <c r="F45" s="16">
        <f t="shared" si="3"/>
        <v>3933</v>
      </c>
      <c r="G45" s="16">
        <f t="shared" si="4"/>
        <v>747.27</v>
      </c>
      <c r="H45" s="16">
        <f t="shared" si="5"/>
        <v>4680.2700000000004</v>
      </c>
      <c r="I45" t="s">
        <v>359</v>
      </c>
      <c r="J45" t="s">
        <v>285</v>
      </c>
      <c r="K45" t="s">
        <v>389</v>
      </c>
      <c r="L45">
        <v>4065206</v>
      </c>
    </row>
    <row r="46" spans="1:12" x14ac:dyDescent="0.25">
      <c r="A46" s="13">
        <v>46214</v>
      </c>
      <c r="B46" s="14" t="s">
        <v>362</v>
      </c>
      <c r="C46" s="15">
        <v>1</v>
      </c>
      <c r="D46" s="14" t="s">
        <v>100</v>
      </c>
      <c r="E46" s="16">
        <v>3950</v>
      </c>
      <c r="F46" s="16">
        <f t="shared" si="3"/>
        <v>3950</v>
      </c>
      <c r="G46" s="16">
        <f t="shared" si="4"/>
        <v>750.5</v>
      </c>
      <c r="H46" s="16">
        <f t="shared" si="5"/>
        <v>4700.5</v>
      </c>
      <c r="I46" t="s">
        <v>359</v>
      </c>
      <c r="J46" t="s">
        <v>285</v>
      </c>
      <c r="K46" t="s">
        <v>389</v>
      </c>
      <c r="L46">
        <v>4065206</v>
      </c>
    </row>
    <row r="47" spans="1:12" s="65" customFormat="1" x14ac:dyDescent="0.25">
      <c r="A47" s="61">
        <v>46236</v>
      </c>
      <c r="B47" s="62" t="s">
        <v>363</v>
      </c>
      <c r="C47" s="63">
        <v>4</v>
      </c>
      <c r="D47" s="62" t="s">
        <v>100</v>
      </c>
      <c r="E47" s="64">
        <v>11500</v>
      </c>
      <c r="F47" s="64">
        <f t="shared" si="3"/>
        <v>46000</v>
      </c>
      <c r="G47" s="64">
        <f t="shared" si="4"/>
        <v>8740</v>
      </c>
      <c r="H47" s="64">
        <f t="shared" si="5"/>
        <v>54740</v>
      </c>
      <c r="I47" s="65" t="s">
        <v>364</v>
      </c>
      <c r="J47" s="65" t="s">
        <v>285</v>
      </c>
      <c r="K47" s="65" t="s">
        <v>365</v>
      </c>
      <c r="L47" s="65">
        <v>4065212</v>
      </c>
    </row>
    <row r="48" spans="1:12" x14ac:dyDescent="0.25">
      <c r="A48" s="13">
        <v>46225</v>
      </c>
      <c r="B48" s="14" t="s">
        <v>367</v>
      </c>
      <c r="C48" s="15">
        <v>1448.5</v>
      </c>
      <c r="D48" s="14" t="s">
        <v>287</v>
      </c>
      <c r="E48" s="16">
        <v>7700</v>
      </c>
      <c r="F48" s="16">
        <f t="shared" si="3"/>
        <v>11153450</v>
      </c>
      <c r="G48" s="16">
        <f t="shared" si="4"/>
        <v>2119155.5</v>
      </c>
      <c r="H48" s="16">
        <f t="shared" si="5"/>
        <v>13272605.5</v>
      </c>
      <c r="I48" t="s">
        <v>288</v>
      </c>
      <c r="J48" t="s">
        <v>285</v>
      </c>
      <c r="K48" t="s">
        <v>368</v>
      </c>
      <c r="L48">
        <v>4065230</v>
      </c>
    </row>
    <row r="49" spans="1:12" x14ac:dyDescent="0.25">
      <c r="A49" s="13">
        <v>46237</v>
      </c>
      <c r="B49" s="14" t="s">
        <v>369</v>
      </c>
      <c r="C49" s="15">
        <v>3</v>
      </c>
      <c r="D49" s="14" t="s">
        <v>100</v>
      </c>
      <c r="E49" s="16">
        <v>460</v>
      </c>
      <c r="F49" s="16">
        <f t="shared" si="3"/>
        <v>1380</v>
      </c>
      <c r="G49" s="16">
        <f t="shared" si="4"/>
        <v>262.2</v>
      </c>
      <c r="H49" s="16">
        <f t="shared" si="5"/>
        <v>1642.2</v>
      </c>
      <c r="I49" t="s">
        <v>370</v>
      </c>
      <c r="J49" t="s">
        <v>285</v>
      </c>
      <c r="K49" t="s">
        <v>371</v>
      </c>
      <c r="L49">
        <v>4065236</v>
      </c>
    </row>
    <row r="50" spans="1:12" x14ac:dyDescent="0.25">
      <c r="A50" s="13">
        <v>46237</v>
      </c>
      <c r="B50" s="14" t="s">
        <v>372</v>
      </c>
      <c r="C50" s="15">
        <v>6</v>
      </c>
      <c r="D50" s="14" t="s">
        <v>100</v>
      </c>
      <c r="E50" s="16">
        <v>900</v>
      </c>
      <c r="F50" s="16">
        <f t="shared" si="3"/>
        <v>5400</v>
      </c>
      <c r="G50" s="16">
        <f t="shared" si="4"/>
        <v>1026</v>
      </c>
      <c r="H50" s="16">
        <f t="shared" si="5"/>
        <v>6426</v>
      </c>
      <c r="I50" t="s">
        <v>370</v>
      </c>
      <c r="J50" t="s">
        <v>285</v>
      </c>
      <c r="K50" t="s">
        <v>371</v>
      </c>
      <c r="L50">
        <v>4065236</v>
      </c>
    </row>
    <row r="51" spans="1:12" x14ac:dyDescent="0.25">
      <c r="A51" s="13">
        <v>46237</v>
      </c>
      <c r="B51" s="14" t="s">
        <v>373</v>
      </c>
      <c r="C51" s="15">
        <v>1</v>
      </c>
      <c r="D51" s="14" t="s">
        <v>100</v>
      </c>
      <c r="E51" s="16">
        <v>17500</v>
      </c>
      <c r="F51" s="16">
        <f t="shared" si="3"/>
        <v>17500</v>
      </c>
      <c r="G51" s="16">
        <f t="shared" si="4"/>
        <v>3325</v>
      </c>
      <c r="H51" s="16">
        <f t="shared" si="5"/>
        <v>20825</v>
      </c>
      <c r="I51" t="s">
        <v>370</v>
      </c>
      <c r="J51" t="s">
        <v>285</v>
      </c>
      <c r="K51" t="s">
        <v>371</v>
      </c>
      <c r="L51">
        <v>4065236</v>
      </c>
    </row>
    <row r="52" spans="1:12" x14ac:dyDescent="0.25">
      <c r="A52" s="13">
        <v>46237</v>
      </c>
      <c r="B52" s="14" t="s">
        <v>374</v>
      </c>
      <c r="C52" s="15">
        <v>1</v>
      </c>
      <c r="D52" s="14" t="s">
        <v>100</v>
      </c>
      <c r="E52" s="16">
        <v>8500</v>
      </c>
      <c r="F52" s="16">
        <f t="shared" si="3"/>
        <v>8500</v>
      </c>
      <c r="G52" s="16">
        <f t="shared" si="4"/>
        <v>1615</v>
      </c>
      <c r="H52" s="16">
        <f t="shared" si="5"/>
        <v>10115</v>
      </c>
      <c r="I52" t="s">
        <v>370</v>
      </c>
      <c r="J52" t="s">
        <v>285</v>
      </c>
      <c r="K52" t="s">
        <v>371</v>
      </c>
      <c r="L52">
        <v>4065236</v>
      </c>
    </row>
    <row r="53" spans="1:12" x14ac:dyDescent="0.25">
      <c r="A53" s="13">
        <v>46237</v>
      </c>
      <c r="B53" s="14" t="s">
        <v>313</v>
      </c>
      <c r="C53" s="15">
        <v>1</v>
      </c>
      <c r="D53" s="14" t="s">
        <v>100</v>
      </c>
      <c r="E53" s="16">
        <v>2000</v>
      </c>
      <c r="F53" s="16">
        <f t="shared" si="3"/>
        <v>2000</v>
      </c>
      <c r="G53" s="16">
        <f t="shared" si="4"/>
        <v>380</v>
      </c>
      <c r="H53" s="16">
        <f t="shared" si="5"/>
        <v>2380</v>
      </c>
      <c r="I53" t="s">
        <v>370</v>
      </c>
      <c r="J53" t="s">
        <v>285</v>
      </c>
      <c r="K53" t="s">
        <v>371</v>
      </c>
      <c r="L53">
        <v>4065236</v>
      </c>
    </row>
    <row r="54" spans="1:12" x14ac:dyDescent="0.25">
      <c r="A54" s="3" t="s">
        <v>377</v>
      </c>
      <c r="B54" s="8"/>
      <c r="C54" s="8"/>
      <c r="D54" s="8"/>
      <c r="E54" s="8"/>
      <c r="F54" s="9">
        <f>SUM(F2:F53)</f>
        <v>94964844.868080005</v>
      </c>
      <c r="G54" s="9">
        <f>SUM(G2:G53)</f>
        <v>18043320.524935197</v>
      </c>
      <c r="H54" s="9">
        <f>SUM(H2:H53)</f>
        <v>113008165.39301519</v>
      </c>
      <c r="I54" s="8"/>
      <c r="J54" s="8"/>
      <c r="K54" s="8"/>
      <c r="L54" s="8"/>
    </row>
    <row r="58" spans="1:12" x14ac:dyDescent="0.25">
      <c r="H58" s="40"/>
    </row>
    <row r="64" spans="1:12" x14ac:dyDescent="0.25">
      <c r="J64" s="4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zoomScaleNormal="100" workbookViewId="0">
      <selection activeCell="C15" sqref="C15"/>
    </sheetView>
  </sheetViews>
  <sheetFormatPr defaultColWidth="8.7109375" defaultRowHeight="15" x14ac:dyDescent="0.25"/>
  <cols>
    <col min="1" max="1" width="22" customWidth="1"/>
    <col min="2" max="4" width="20" customWidth="1"/>
  </cols>
  <sheetData>
    <row r="1" spans="1:4" ht="24" customHeight="1" x14ac:dyDescent="0.25">
      <c r="A1" s="20" t="s">
        <v>9</v>
      </c>
      <c r="B1" s="20" t="s">
        <v>378</v>
      </c>
      <c r="C1" s="20" t="s">
        <v>379</v>
      </c>
      <c r="D1" s="20" t="s">
        <v>380</v>
      </c>
    </row>
    <row r="2" spans="1:4" x14ac:dyDescent="0.25">
      <c r="A2" s="5" t="s">
        <v>15</v>
      </c>
      <c r="B2" s="7">
        <f>SUMIF(GLOBAL!$J:$J,A2,GLOBAL!$F:$F)</f>
        <v>18884999.779872008</v>
      </c>
      <c r="C2" s="7">
        <f>SUMIF(GLOBAL!$J:$J,A2,GLOBAL!$G:$G)</f>
        <v>3588149.958175682</v>
      </c>
      <c r="D2" s="7">
        <f>SUMIF(GLOBAL!$J:$J,A2,GLOBAL!$H:$H)</f>
        <v>22473149.738047685</v>
      </c>
    </row>
    <row r="3" spans="1:4" x14ac:dyDescent="0.25">
      <c r="A3" s="5" t="s">
        <v>285</v>
      </c>
      <c r="B3" s="7">
        <f>SUMIF(GLOBAL!$J:$J,A3,GLOBAL!$F:$F)</f>
        <v>94964844.868080005</v>
      </c>
      <c r="C3" s="7">
        <f>SUMIF(GLOBAL!$J:$J,A3,GLOBAL!$G:$G)</f>
        <v>18043320.524935197</v>
      </c>
      <c r="D3" s="7">
        <f>SUMIF(GLOBAL!$J:$J,A3,GLOBAL!$H:$H)</f>
        <v>113008165.39301519</v>
      </c>
    </row>
    <row r="4" spans="1:4" x14ac:dyDescent="0.25">
      <c r="A4" s="3" t="s">
        <v>377</v>
      </c>
      <c r="B4" s="9">
        <f>SUM(B2:B3)</f>
        <v>113849844.64795202</v>
      </c>
      <c r="C4" s="9">
        <f>SUM(C2:C3)</f>
        <v>21631470.483110879</v>
      </c>
      <c r="D4" s="9">
        <f>SUM(D2:D3)</f>
        <v>135481315.13106287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VIEUX KOUBA</vt:lpstr>
      <vt:lpstr>DJNANE SFARI</vt:lpstr>
      <vt:lpstr>RESUME 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GAMING</dc:creator>
  <dc:description/>
  <cp:lastModifiedBy>GAMING</cp:lastModifiedBy>
  <cp:revision>0</cp:revision>
  <dcterms:created xsi:type="dcterms:W3CDTF">2015-06-05T18:17:20Z</dcterms:created>
  <dcterms:modified xsi:type="dcterms:W3CDTF">2026-08-09T12:30:41Z</dcterms:modified>
  <dc:language>en-US</dc:language>
</cp:coreProperties>
</file>